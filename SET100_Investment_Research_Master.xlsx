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montacoth.sharepoint.com/sites/FinanceTeam/Shared Documents/General/Finance/Other/AI/GITHUB/SET100/SET100_GitHub_v6/"/>
    </mc:Choice>
  </mc:AlternateContent>
  <xr:revisionPtr revIDLastSave="5" documentId="11_D1DDF7EDCC0F8E2639F46F35F3EE86137F45BD36" xr6:coauthVersionLast="47" xr6:coauthVersionMax="47" xr10:uidLastSave="{1781B885-57C9-4F9A-9DBE-CCE390A445F5}"/>
  <bookViews>
    <workbookView xWindow="0" yWindow="0" windowWidth="34520" windowHeight="14950" activeTab="6" xr2:uid="{00000000-000D-0000-FFFF-FFFF00000000}"/>
  </bookViews>
  <sheets>
    <sheet name="00_README" sheetId="1" r:id="rId1"/>
    <sheet name="01_Universe" sheetId="2" r:id="rId2"/>
    <sheet name="02_Scorecard" sheetId="3" r:id="rId3"/>
    <sheet name="03_Financials" sheetId="4" r:id="rId4"/>
    <sheet name="04_Valuation" sheetId="5" r:id="rId5"/>
    <sheet name="05_Special_Flags" sheetId="6" r:id="rId6"/>
    <sheet name="06_Deep_Research" sheetId="7" r:id="rId7"/>
    <sheet name="07_Sources" sheetId="8" r:id="rId8"/>
    <sheet name="08_Research_Log" sheetId="9" r:id="rId9"/>
    <sheet name="09_Ranking" sheetId="10" r:id="rId10"/>
    <sheet name="10_System_Metadat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0" l="1"/>
  <c r="G8" i="10"/>
  <c r="F8" i="10"/>
  <c r="E8" i="10"/>
  <c r="D8" i="10"/>
  <c r="C8" i="10"/>
  <c r="J7" i="10"/>
  <c r="G7" i="10"/>
  <c r="F7" i="10"/>
  <c r="E7" i="10"/>
  <c r="D7" i="10"/>
  <c r="C7" i="10"/>
  <c r="J6" i="10"/>
  <c r="G6" i="10"/>
  <c r="F6" i="10"/>
  <c r="E6" i="10"/>
  <c r="D6" i="10"/>
  <c r="C6" i="10"/>
  <c r="J5" i="10"/>
  <c r="G5" i="10"/>
  <c r="F5" i="10"/>
  <c r="E5" i="10"/>
  <c r="D5" i="10"/>
  <c r="C5" i="10"/>
  <c r="J4" i="10"/>
  <c r="G4" i="10"/>
  <c r="F4" i="10"/>
  <c r="E4" i="10"/>
  <c r="D4" i="10"/>
  <c r="C4" i="10"/>
  <c r="F8" i="4"/>
  <c r="F7" i="4"/>
  <c r="F6" i="4"/>
  <c r="F5" i="4"/>
  <c r="F4" i="4"/>
  <c r="N8" i="3"/>
  <c r="I8" i="6" s="1"/>
  <c r="N7" i="3"/>
  <c r="I7" i="6" s="1"/>
  <c r="N6" i="3"/>
  <c r="I6" i="6" s="1"/>
  <c r="N5" i="3"/>
  <c r="I5" i="6" s="1"/>
  <c r="N4" i="3"/>
  <c r="I4" i="6" s="1"/>
</calcChain>
</file>

<file path=xl/sharedStrings.xml><?xml version="1.0" encoding="utf-8"?>
<sst xmlns="http://schemas.openxmlformats.org/spreadsheetml/2006/main" count="1088" uniqueCount="493">
  <si>
    <t>SET100 Investment Research — Master Database v1</t>
  </si>
  <si>
    <t>หัวข้อ</t>
  </si>
  <si>
    <t>รายละเอียด</t>
  </si>
  <si>
    <t>Data Discipline</t>
  </si>
  <si>
    <t>ประเภท</t>
  </si>
  <si>
    <t>ตัวอย่าง</t>
  </si>
  <si>
    <t>Rule</t>
  </si>
  <si>
    <t>สี</t>
  </si>
  <si>
    <t>Universe</t>
  </si>
  <si>
    <t>SET100 รอบครึ่งหลังปี 2569; Research order = Market Cap 100%</t>
  </si>
  <si>
    <t>Fact</t>
  </si>
  <si>
    <t>Primary-source data</t>
  </si>
  <si>
    <t>Market Cap / NPAT / P/E</t>
  </si>
  <si>
    <t>เก็บวันที่ข้อมูล</t>
  </si>
  <si>
    <t>Blue hardcode</t>
  </si>
  <si>
    <t>Research progress</t>
  </si>
  <si>
    <t>5 / 100 บริษัท</t>
  </si>
  <si>
    <t>Calculation</t>
  </si>
  <si>
    <t>Workbook formula</t>
  </si>
  <si>
    <t>NPAT Growth / Overall Score</t>
  </si>
  <si>
    <t>ต้องเป็นสูตร</t>
  </si>
  <si>
    <t>Black</t>
  </si>
  <si>
    <t>Completed Batch</t>
  </si>
  <si>
    <t>Batch 1: DELTA, PTT, ADVANC, GULF, AOT</t>
  </si>
  <si>
    <t>Assumption</t>
  </si>
  <si>
    <t>Scenario / forward view</t>
  </si>
  <si>
    <t>Bull/Base/Bear</t>
  </si>
  <si>
    <t>ต้องระบุชัด</t>
  </si>
  <si>
    <t>Yellow attention</t>
  </si>
  <si>
    <t>Market Data Date</t>
  </si>
  <si>
    <t>2026-10-07</t>
  </si>
  <si>
    <t>Interpretation</t>
  </si>
  <si>
    <t>Investment judgment</t>
  </si>
  <si>
    <t>Moat / Valuation conclusion</t>
  </si>
  <si>
    <t>ไม่เขียนเป็น Fact</t>
  </si>
  <si>
    <t>Narrative field</t>
  </si>
  <si>
    <t>Research Date</t>
  </si>
  <si>
    <t>2026-10-08</t>
  </si>
  <si>
    <t>Primary Sources</t>
  </si>
  <si>
    <t>SET / SETTRADE / Investor Relations / Company Website</t>
  </si>
  <si>
    <t>Scoring</t>
  </si>
  <si>
    <t>8 dimensions, 0–10; Overall Score = simple average</t>
  </si>
  <si>
    <t>Dashboard v3</t>
  </si>
  <si>
    <t>File</t>
  </si>
  <si>
    <t>Role</t>
  </si>
  <si>
    <t>How to update</t>
  </si>
  <si>
    <t>Notes</t>
  </si>
  <si>
    <t>Risk convention</t>
  </si>
  <si>
    <t>คะแนน Risk Profile สูง = resilience / risk quality ดีกว่า</t>
  </si>
  <si>
    <t>Static UI</t>
  </si>
  <si>
    <t>index.html</t>
  </si>
  <si>
    <t>Dashboard shell</t>
  </si>
  <si>
    <t>Normally no edit</t>
  </si>
  <si>
    <t>Fetches data.json</t>
  </si>
  <si>
    <t>Excel role</t>
  </si>
  <si>
    <t>Source of Truth: data, formulas, scores, sources, research log</t>
  </si>
  <si>
    <t>Data layer</t>
  </si>
  <si>
    <t>data.json</t>
  </si>
  <si>
    <t>Website data</t>
  </si>
  <si>
    <t>Replace on GitHub</t>
  </si>
  <si>
    <t>Refresh button reloads this file</t>
  </si>
  <si>
    <t>HTML role</t>
  </si>
  <si>
    <t>Dashboard สำหรับ GitHub Pages; regenerate เมื่อ Master Excel เปลี่ยน</t>
  </si>
  <si>
    <t>Master DB</t>
  </si>
  <si>
    <t>SET100_Investment_Research_Master_v3.xlsx</t>
  </si>
  <si>
    <t>Source of Truth</t>
  </si>
  <si>
    <t>Update after each research batch</t>
  </si>
  <si>
    <t>Keep research + sources here</t>
  </si>
  <si>
    <t>Updater</t>
  </si>
  <si>
    <t>update_data.py</t>
  </si>
  <si>
    <t>Generate data.json from workbook</t>
  </si>
  <si>
    <t>Run after Excel update</t>
  </si>
  <si>
    <t>Optional helper</t>
  </si>
  <si>
    <t>กติกาการเปรียบเทียบ</t>
  </si>
  <si>
    <t>ไม่เปรียบเทียบหุ้นกันเองทั้งภายใน Batch หรือข้าม Batch</t>
  </si>
  <si>
    <t>Status</t>
  </si>
  <si>
    <t>Current / New Results / Needs Update</t>
  </si>
  <si>
    <t>Research freshness</t>
  </si>
  <si>
    <t>Maintain per company</t>
  </si>
  <si>
    <t>Shown on dashboard</t>
  </si>
  <si>
    <t>Industry Benchmark</t>
  </si>
  <si>
    <t>หากต้องเปรียบเทียบ ให้เทียบกับอุตสาหกรรม/Peer Group ของหุ้นนั้นเท่านั้น</t>
  </si>
  <si>
    <t>Moat</t>
  </si>
  <si>
    <t>ต้องระบุชัดทุกบริษัทว่า มี / ไม่มี พร้อมเหตุผล</t>
  </si>
  <si>
    <t>v6 Workflow</t>
  </si>
  <si>
    <t>User Action</t>
  </si>
  <si>
    <t>GitHub Action</t>
  </si>
  <si>
    <t>Dashboard</t>
  </si>
  <si>
    <t>Debt / EBITDA</t>
  </si>
  <si>
    <t>แสดง Total Interest-Bearing Debt / EBITDA ใน Summary; หาก Financial Sector ใช้ N/A และเปลี่ยนเป็น metric ที่เหมาะสม</t>
  </si>
  <si>
    <t>Team Comment</t>
  </si>
  <si>
    <t>06_Deep_Research &gt; Team Comment</t>
  </si>
  <si>
    <t>แก้ Excel แล้ว Upload Excel</t>
  </si>
  <si>
    <t>สร้าง data.json อัตโนมัติ</t>
  </si>
  <si>
    <t>Comment แสดงใต้ Bear Thesis</t>
  </si>
  <si>
    <t>Ranking</t>
  </si>
  <si>
    <t>ยกเลิกการจัดอันดับหุ้นเทียบกันเอง; คงคะแนนรายบริษัทเพื่อประเมินแบบ Absolute</t>
  </si>
  <si>
    <t>Master Filename</t>
  </si>
  <si>
    <t>SET100_Investment_Research_Master.xlsx</t>
  </si>
  <si>
    <t>Upload ทับชื่อเดิม</t>
  </si>
  <si>
    <t>Workflow ตรวจจับไฟล์นี้</t>
  </si>
  <si>
    <t>ไม่ต้อง Upload data.json เอง</t>
  </si>
  <si>
    <t>Financial Sector Exception</t>
  </si>
  <si>
    <t>Bank/Finance/Insurance ไม่ใช้ Debt/EBITDA เพราะหนี้เป็นส่วนหนึ่งของ Operating Model; ใช้ CAR/CET1, NPL, Coverage, LDR ฯลฯ</t>
  </si>
  <si>
    <t>Comment Sharing</t>
  </si>
  <si>
    <t>Excel / data.json</t>
  </si>
  <si>
    <t>ทีมเห็นข้อความเดียวกัน</t>
  </si>
  <si>
    <t>Public site = คนเข้าเว็บเห็นได้</t>
  </si>
  <si>
    <t>ไม่มี localStorage</t>
  </si>
  <si>
    <t>SET100 Universe &amp; Market Cap Research Order</t>
  </si>
  <si>
    <t>MCap Rank</t>
  </si>
  <si>
    <t>Ticker</t>
  </si>
  <si>
    <t>Company</t>
  </si>
  <si>
    <t>Sector</t>
  </si>
  <si>
    <t>Price (THB)</t>
  </si>
  <si>
    <t>Market Cap (THB mn)</t>
  </si>
  <si>
    <t>Batch</t>
  </si>
  <si>
    <t>Financial Period</t>
  </si>
  <si>
    <t>Market Date</t>
  </si>
  <si>
    <t>SET Source</t>
  </si>
  <si>
    <t>IR Source</t>
  </si>
  <si>
    <t>Update Status</t>
  </si>
  <si>
    <t>Market Data Updated</t>
  </si>
  <si>
    <t>Financial Data Updated</t>
  </si>
  <si>
    <t>Research Reviewed</t>
  </si>
  <si>
    <t>DELTA</t>
  </si>
  <si>
    <t>Delta Electronics (Thailand) PCL.</t>
  </si>
  <si>
    <t>Electronic Components</t>
  </si>
  <si>
    <t>Completed</t>
  </si>
  <si>
    <t>1H2026 / Q2 2026</t>
  </si>
  <si>
    <t>https://www.set.or.th/en/market/product/stock/quote/DELTA/factsheet</t>
  </si>
  <si>
    <t>https://www.deltathailand.com/en/financial-highlights</t>
  </si>
  <si>
    <t>Current</t>
  </si>
  <si>
    <t>PTT</t>
  </si>
  <si>
    <t>PTT Public Company Limited</t>
  </si>
  <si>
    <t>Energy &amp; Utilities</t>
  </si>
  <si>
    <t>https://www.set.or.th/en/market/product/stock/quote/PTT/factsheet</t>
  </si>
  <si>
    <t>https://investor.pttplc.com/en/downloads/financial-statements-mda</t>
  </si>
  <si>
    <t>ADVANC</t>
  </si>
  <si>
    <t>Advanced Info Service PCL.</t>
  </si>
  <si>
    <t>Information &amp; Communication Technology</t>
  </si>
  <si>
    <t>https://www.set.or.th/en/market/product/stock/quote/ADVANC/factsheet</t>
  </si>
  <si>
    <t>https://investor.ais.co.th/en/document/quarterly-results</t>
  </si>
  <si>
    <t>GULF</t>
  </si>
  <si>
    <t>Gulf Development PCL.</t>
  </si>
  <si>
    <t>https://www.set.or.th/en/market/product/stock/quote/GULF/factsheet</t>
  </si>
  <si>
    <t>https://www.gulf.co.th/en/investor-relations</t>
  </si>
  <si>
    <t>AOT</t>
  </si>
  <si>
    <t>Airports of Thailand PCL.</t>
  </si>
  <si>
    <t>Transportation &amp; Logistics</t>
  </si>
  <si>
    <t>9M FY2026 / Q3 FY2026</t>
  </si>
  <si>
    <t>https://www.set.or.th/en/market/product/stock/quote/AOT/factsheet</t>
  </si>
  <si>
    <t>https://investor.airportthai.co.th/</t>
  </si>
  <si>
    <t>Pending</t>
  </si>
  <si>
    <t>Master Scorecard</t>
  </si>
  <si>
    <t>Valuation Class</t>
  </si>
  <si>
    <t>Special Flags</t>
  </si>
  <si>
    <t>Business Quality</t>
  </si>
  <si>
    <t>Competitive Advantage</t>
  </si>
  <si>
    <t>Management</t>
  </si>
  <si>
    <t>Growth</t>
  </si>
  <si>
    <t>Financial Strength</t>
  </si>
  <si>
    <t>Valuation</t>
  </si>
  <si>
    <t>Catalysts</t>
  </si>
  <si>
    <t>Risk Profile</t>
  </si>
  <si>
    <t>Overall Score</t>
  </si>
  <si>
    <t>Research Status</t>
  </si>
  <si>
    <t>Investor Fit</t>
  </si>
  <si>
    <t>Very Expensive</t>
  </si>
  <si>
    <t>Moat | Growth | Strong Balance Sheet | Extreme Valuation</t>
  </si>
  <si>
    <t>Growth investor with high tolerance for valuation risk.</t>
  </si>
  <si>
    <t>Cheap</t>
  </si>
  <si>
    <t>Dividend | Value | Bond Candidate | Asset Backing</t>
  </si>
  <si>
    <t>Value/dividend investor and credit investor.</t>
  </si>
  <si>
    <t>Fair Value</t>
  </si>
  <si>
    <t>Moat | Dividend | Growth | Bond Candidate | Quality</t>
  </si>
  <si>
    <t>Core quality/compounder investor and credit investor.</t>
  </si>
  <si>
    <t>Growth | Ecosystem Moat | Infrastructure | AI/Data Center</t>
  </si>
  <si>
    <t>Growth/infrastructure investor comfortable with leverage and complexity.</t>
  </si>
  <si>
    <t>Expensive</t>
  </si>
  <si>
    <t>Monopoly Moat | Tourism Recovery | Premium Valuation | Bond Candidate</t>
  </si>
  <si>
    <t>Quality infrastructure investor willing to pay a premium.</t>
  </si>
  <si>
    <t>Latest Financials</t>
  </si>
  <si>
    <t>Period</t>
  </si>
  <si>
    <t>Quarter NPAT (THB mn)</t>
  </si>
  <si>
    <t>Period NPAT (THB mn)</t>
  </si>
  <si>
    <t>Prior Period NPAT (THB mn)</t>
  </si>
  <si>
    <t>NPAT YoY</t>
  </si>
  <si>
    <t>EPS / Share</t>
  </si>
  <si>
    <t>Revenue (THB mn)</t>
  </si>
  <si>
    <t>EBITDA (THB mn)</t>
  </si>
  <si>
    <t>Net Debt/EBITDA</t>
  </si>
  <si>
    <t>Source</t>
  </si>
  <si>
    <t>Note</t>
  </si>
  <si>
    <t>Debt / EBITDA (x)</t>
  </si>
  <si>
    <t>Debt/EBITDA Basis</t>
  </si>
  <si>
    <t>Debt/EBITDA Note</t>
  </si>
  <si>
    <t>https://www.set.or.th/en/market/news-and-alert/newsdetails?id=105530200&amp;symbol=DELTA</t>
  </si>
  <si>
    <t>Latest reviewed period used in Batch 1.</t>
  </si>
  <si>
    <t>ประมาณการจาก SET: (EV - Market Cap + Cash) / EBITDA; ใช้เป็น screening value เพราะหน้า SET ratio ไม่แสดงค่าด้วย text parser</t>
  </si>
  <si>
    <t>https://www.set.or.th/en/market/news-and-alert/newsdetails?id=106015900&amp;symbol=PTT</t>
  </si>
  <si>
    <t>SET</t>
  </si>
  <si>
    <t>Total Interest Bearing Debt / EBITDA, 6M/2026 (TTM-adjusted by SET)</t>
  </si>
  <si>
    <t>https://www.set.or.th/en/market/news-and-alert/newsdetails?id=105664800&amp;symbol=ADVANC</t>
  </si>
  <si>
    <t>https://www.set.or.th/en/market/news-and-alert/newsdetails?id=105685400&amp;symbol=GULF</t>
  </si>
  <si>
    <t>Reported YoY comparability is distorted by 2025 amalgamation effects; use core profit/SOTP.</t>
  </si>
  <si>
    <t>https://www.set.or.th/en/market/news-and-alert/newsdetails?id=106027100&amp;symbol=AOT</t>
  </si>
  <si>
    <t>AOT fiscal year ends Sep; row uses 9M FY2026 / Q3 FY2026.</t>
  </si>
  <si>
    <t>คำนวณจากหนี้ที่มีภาระดอกเบี้ยในงบ 9M/FY2026 หาร SET EBITDA 29,108.74 ล้านบาท</t>
  </si>
  <si>
    <t>Valuation Snapshot</t>
  </si>
  <si>
    <t>P/E (x)</t>
  </si>
  <si>
    <t>P/BV (x)</t>
  </si>
  <si>
    <t>EV/EBITDA (x)</t>
  </si>
  <si>
    <t>Dividend Yield</t>
  </si>
  <si>
    <t>FCF Yield</t>
  </si>
  <si>
    <t>Valuation Method</t>
  </si>
  <si>
    <t>Conclusion</t>
  </si>
  <si>
    <t>Data Date</t>
  </si>
  <si>
    <t>Relative multiples / business quality</t>
  </si>
  <si>
    <t>Exceptional business quality is offset by an extreme starting multiple. Multiple compression is a material risk.</t>
  </si>
  <si>
    <t>Low headline multiples and asset backing provide support, but re-rating may remain constrained by policy and conglomerate discount.</t>
  </si>
  <si>
    <t>Not cheap, but substantially more reasonable than extreme-growth names. Earnings growth can still drive returns without aggressive re-rating.</t>
  </si>
  <si>
    <t>SOTP preferred; headline multiples secondary</t>
  </si>
  <si>
    <t>Headline P/E can be misleading due to amalgamation effects; SOTP is the preferred framework.</t>
  </si>
  <si>
    <t>The market pays a substantial premium for monopoly quality. Upside requires sustained passenger and commercial growth.</t>
  </si>
  <si>
    <t>Dividend / Moat / Growth / Bond Special Flags</t>
  </si>
  <si>
    <t>Dividend Flag</t>
  </si>
  <si>
    <t>Bond Candidate</t>
  </si>
  <si>
    <t>Moat Flag</t>
  </si>
  <si>
    <t>Growth Flag</t>
  </si>
  <si>
    <t>Value Flag</t>
  </si>
  <si>
    <t>Low Debt Flag</t>
  </si>
  <si>
    <t>Risk Flag</t>
  </si>
  <si>
    <t>Key Takeaway</t>
  </si>
  <si>
    <t>Monitoring</t>
  </si>
  <si>
    <t>No</t>
  </si>
  <si>
    <t>Watch</t>
  </si>
  <si>
    <t>Yes</t>
  </si>
  <si>
    <t>Best structural growth profile in Batch 1, but the weakest margin of safety.</t>
  </si>
  <si>
    <t>AI capex, order growth, gross margin, customer mix, capex and P/E de-rating.</t>
  </si>
  <si>
    <t>Moderate</t>
  </si>
  <si>
    <t>Review</t>
  </si>
  <si>
    <t>Strongest value and bond profile in Batch 1; growth is the main limitation.</t>
  </si>
  <si>
    <t>Oil/gas prices, refining/petrochemical spreads, PTTEP earnings, dividends, capex and policy intervention.</t>
  </si>
  <si>
    <t>Current Batch 1 leader on risk-adjusted quality.</t>
  </si>
  <si>
    <t>ARPU, churn, service revenue, EBITDA margin, capex, spectrum payments, FCF and dividend payout.</t>
  </si>
  <si>
    <t>Selective</t>
  </si>
  <si>
    <t>Strong</t>
  </si>
  <si>
    <t>Leverage</t>
  </si>
  <si>
    <t>Second-strongest Batch 1 score; data-center optionality is the standout upside.</t>
  </si>
  <si>
    <t>Core profit, ADVANC contribution, net debt, project COD, data-center MW contracted, funding cost and SOTP discount.</t>
  </si>
  <si>
    <t>Strongest moat in Batch 1, but valuation remains demanding.</t>
  </si>
  <si>
    <t>International passengers, Chinese arrivals, aero/non-aero revenue, concession terms, capex and P/E.</t>
  </si>
  <si>
    <t>Company Deep Research — Stock Deep Research Framework</t>
  </si>
  <si>
    <t>1. Management</t>
  </si>
  <si>
    <t>2. Product / Moat</t>
  </si>
  <si>
    <t>3. TAM / Growth Runway</t>
  </si>
  <si>
    <t>4. Positive Catalysts</t>
  </si>
  <si>
    <t>5. Competitors</t>
  </si>
  <si>
    <t>6. Revenue Growth &amp; Margin</t>
  </si>
  <si>
    <t>7. Regulation</t>
  </si>
  <si>
    <t>8. Narrative &amp; Sentiment</t>
  </si>
  <si>
    <t>9. Valuation Effect</t>
  </si>
  <si>
    <t>10. Earnings &amp; Macro</t>
  </si>
  <si>
    <t>11. Risk Radar</t>
  </si>
  <si>
    <t>Investment Thesis</t>
  </si>
  <si>
    <t>Bear Thesis</t>
  </si>
  <si>
    <t>What Market Believes</t>
  </si>
  <si>
    <t>What Market Might Be Missing</t>
  </si>
  <si>
    <t>Key Variables</t>
  </si>
  <si>
    <t>5-Minute Summary</t>
  </si>
  <si>
    <t>Moat: มี/ไม่มี</t>
  </si>
  <si>
    <t>เหตุผล Moat</t>
  </si>
  <si>
    <t>Industry Comparison / Benchmark</t>
  </si>
  <si>
    <t>Global Delta ecosystem; strong engineering and manufacturing execution. Minority investors remain exposed to parent-group strategic priorities.</t>
  </si>
  <si>
    <t>Power management and electronic components for data center, industrial and EV applications. Engineering know-how, qualification, scale and global customer relationships create a strong moat.</t>
  </si>
  <si>
    <t>Structural exposure to AI/data-center power infrastructure, high-efficiency power conversion and EV. Growth runway is strong, but market expectations are already high.</t>
  </si>
  <si>
    <t>AI/data-center power demand; margin expansion; regional manufacturing growth; EV and industrial automation.</t>
  </si>
  <si>
    <t>Vertiv, Schneider, Eaton and Asian power-supply manufacturers.</t>
  </si>
  <si>
    <t>Growth and margin expansion are occurring together; the operating profile is excellent.</t>
  </si>
  <si>
    <t>Main risk is global trade/geopolitical policy: tariffs, export controls, local-content rules and supply-chain fragmentation.</t>
  </si>
  <si>
    <t>AI infrastructure / data-center power winner; positive sentiment, but the equity story is no longer early-stage.</t>
  </si>
  <si>
    <t>1H2026 profit rose sharply YoY. Base case assumes continued earnings growth but lower equity upside because valuation is demanding.</t>
  </si>
  <si>
    <t>Valuation; AI capex cycle; customer concentration; FX; geopolitics / supply chain.</t>
  </si>
  <si>
    <t>High-quality structural-growth compounder with strong moat and balance sheet.</t>
  </si>
  <si>
    <t>Even strong earnings growth may not offset valuation compression if AI expectations normalize.</t>
  </si>
  <si>
    <t>AI/data-center demand can sustain premium growth for years.</t>
  </si>
  <si>
    <t>The operating thesis can be right while the stock return disappoints because the entry multiple is extreme.</t>
  </si>
  <si>
    <t>Structural Growth สูงจาก AI/Data Center และ Power Electronics แต่ต้องระวัง Valuation ที่สูงมาก ซึ่งทำให้ Margin of Safety ต่ำ</t>
  </si>
  <si>
    <t>https://www.set.or.th/en/market/product/stock/quote/DELTA/factsheet | https://www.set.or.th/en/market/news-and-alert/newsdetails?id=105530200&amp;symbol=DELTA | https://www.deltathailand.com/en/financial-highlights</t>
  </si>
  <si>
    <t>มี</t>
  </si>
  <si>
    <t>มี Moat จาก Engineering Know-how, Customer Qualification, Scale, ความสัมพันธ์กับลูกค้าระดับโลก และการอยู่ใน Supply Chain ของ Delta Group ซึ่งทำให้การเปลี่ยน Supplier มีต้นทุนและความเสี่ยงต่อผู้ซื้อ</t>
  </si>
  <si>
    <t>เปรียบเทียบกับอุตสาหกรรม Electronic Components / Power Electronics โดยเน้น Growth, Margin, ROIC, Balance Sheet และ Valuation เทียบผู้เล่น Global Power Management</t>
  </si>
  <si>
    <t>State-controlled strategic energy company. Access to capital and strategic importance are strengths; minority-shareholder alignment can be affected by policy objectives.</t>
  </si>
  <si>
    <t>Integrated energy infrastructure with gas, trading and major listed subsidiaries. Scale, infrastructure and strategic national role create a durable barrier.</t>
  </si>
  <si>
    <t>Mature domestic platform. Growth depends on the energy cycle, subsidiaries, infrastructure, portfolio restructuring and new-energy investment.</t>
  </si>
  <si>
    <t>Oil/gas cycle; subsidiary recovery; petrochemical/refining normalization; portfolio restructuring; dividends.</t>
  </si>
  <si>
    <t>Few true like-for-like peers because PTT is an integrated group; vertical integration and funding access are key advantages.</t>
  </si>
  <si>
    <t>Earnings are driven by commodity prices, refining/petrochemical spreads, inventory effects, FX and subsidiary profit.</t>
  </si>
  <si>
    <t>Energy-price policy is both a barrier and a risk; policy can shift value among PTT, the state and consumers.</t>
  </si>
  <si>
    <t>Cheap integrated energy conglomerate with dividend support and a persistent state/conglomerate discount.</t>
  </si>
  <si>
    <t>1H2026 attributable profit increased strongly YoY. Macro sensitivity remains tied to oil, gas and downstream spreads.</t>
  </si>
  <si>
    <t>Commodity cycle; government policy; petrochemical oversupply; capital allocation; energy transition.</t>
  </si>
  <si>
    <t>Value, dividend and asset-backing case with strong funding access.</t>
  </si>
  <si>
    <t>Cheap valuation may persist if downstream returns stay weak or state-policy burden rises.</t>
  </si>
  <si>
    <t>PTT is mature, cyclical and deserves a state/conglomerate discount.</t>
  </si>
  <si>
    <t>Subsidiary recovery and asset monetization can improve cash returns without requiring a high-growth narrative.</t>
  </si>
  <si>
    <t>จุดเด่นคือ Value, Dividend, Asset Backing และคุณภาพเครดิต ขณะที่ Growth มีลักษณะ Cyclical และขึ้นกับ Commodity/บริษัทย่อย</t>
  </si>
  <si>
    <t>https://www.set.or.th/en/market/product/stock/quote/PTT/factsheet | https://www.set.or.th/en/market/news-and-alert/newsdetails?id=106015900&amp;symbol=PTT | https://investor.pttplc.com/en/downloads/financial-statements-mda</t>
  </si>
  <si>
    <t>มี Moat จากโครงสร้างพื้นฐานพลังงานขนาดใหญ่ ระบบท่อและก๊าซ Scale, Vertical Integration และบทบาทเชิงยุทธศาสตร์ของประเทศ ซึ่งสร้าง Barrier to Entry สูง</t>
  </si>
  <si>
    <t>เปรียบเทียบกับ Integrated Energy / Oil &amp; Gas peers โดยเน้น EV/EBITDA, P/BV, Dividend, Commodity sensitivity และ Balance Sheet</t>
  </si>
  <si>
    <t>Strong historical execution with strategic shareholders GULF and Singtel. Capital discipline and operating track record are key strengths.</t>
  </si>
  <si>
    <t>Mobile, fixed broadband, enterprise and digital services. Spectrum, network scale, subscriber base, switching friction and distribution create a strong moat.</t>
  </si>
  <si>
    <t>Core mobile is mature, but 5G monetization, broadband, enterprise, cloud, data center, AI and digital-finance optionality extend the growth runway.</t>
  </si>
  <si>
    <t>ARPU recovery; rational competition; broadband synergy; enterprise/cloud growth; operating leverage.</t>
  </si>
  <si>
    <t>TRUE is the principal direct telecom peer. ADVANC currently has stronger profitability, balance-sheet quality and execution visibility.</t>
  </si>
  <si>
    <t>A quality-compounder pattern: moderate service-revenue growth, high margins, disciplined capex and strong cash generation.</t>
  </si>
  <si>
    <t>NBTC spectrum, tariff, competition and service-quality regulation are both entry barriers and return-on-capital risks.</t>
  </si>
  <si>
    <t>Thai telecom cash-flow compounder; positive sentiment supported by earnings growth and market structure.</t>
  </si>
  <si>
    <t>1H2026 attributable profit grew materially YoY. Telecom is relatively defensive, while ARPU and spectrum economics remain key variables.</t>
  </si>
  <si>
    <t>Renewed price competition; spectrum cost; capex cycle; regulation; returns on new digital ventures.</t>
  </si>
  <si>
    <t>Best balance of quality, moat, growth, cash flow and valuation in Batch 1.</t>
  </si>
  <si>
    <t>A return of aggressive price competition or expensive spectrum can reduce ROIC and cash-return capacity.</t>
  </si>
  <si>
    <t>Defensive telecom leader with improving earnings.</t>
  </si>
  <si>
    <t>Enterprise/cloud and operating leverage may add more growth than a traditional telecom multiple implies.</t>
  </si>
  <si>
    <t>มี Business Quality, Moat, Cash Flow และ Earnings Visibility แข็งแรง Valuation อยู่ในระดับที่ต้องติดตามเทียบกับ Telecom peers</t>
  </si>
  <si>
    <t>https://www.set.or.th/en/market/product/stock/quote/ADVANC/factsheet | https://www.set.or.th/en/market/news-and-alert/newsdetails?id=105664800&amp;symbol=ADVANC | https://investor.ais.co.th/en/document/quarterly-results</t>
  </si>
  <si>
    <t>มี Moat จาก Spectrum, Network Scale, ฐานลูกค้าขนาดใหญ่, Distribution, Switching Friction และโครงสร้างตลาดที่ต้องใช้เงินลงทุนสูง ทำให้ผู้เล่นใหม่เข้ามาแข่งขันได้ยาก</t>
  </si>
  <si>
    <t>เปรียบเทียบกับ Telecom peers โดยเน้น ARPU, Churn, EBITDA Margin, Capex/Sales, FCF, Spectrum Cost และ Leverage</t>
  </si>
  <si>
    <t>Founder-led capital allocation with high ownership alignment. Complexity and leverage require close monitoring as the platform expands.</t>
  </si>
  <si>
    <t>Energy, infrastructure, telecom exposure through ADVANC, data center/cloud and investments. Ecosystem breadth is difficult for a local peer to replicate.</t>
  </si>
  <si>
    <t>Power and infrastructure remain core, while data center/cloud create a new structural growth leg.</t>
  </si>
  <si>
    <t>ADVANC earnings; new power capacity; data centers; cloud/AI infrastructure; renewable projects; infrastructure investments.</t>
  </si>
  <si>
    <t>Energy peers include GPSC, EGCO, RATCH and BGRIM, but no Thai peer has exactly the same energy-telecom-data ecosystem.</t>
  </si>
  <si>
    <t>Core profit and EBITDA are more useful than headline P/E because amalgamation-related one-offs distort reported comparisons.</t>
  </si>
  <si>
    <t>Exposed to electricity, PPA, telecom, data/privacy, cloud and digital-finance regulation.</t>
  </si>
  <si>
    <t>Thailand infrastructure-tech conglomerate rather than a traditional power stock.</t>
  </si>
  <si>
    <t>Q2 core profit and EBITDA were strong. Reported YoY net-profit comparisons are distorted by the 2025 amalgamation gain.</t>
  </si>
  <si>
    <t>Leverage; execution across multiple businesses; regulation; capital allocation; data-center overbuild.</t>
  </si>
  <si>
    <t>High-growth infrastructure platform with strategic telecom and data-center optionality.</t>
  </si>
  <si>
    <t>Complexity, leverage and large capital commitments can reduce returns if new projects earn below expected ROIC.</t>
  </si>
  <si>
    <t>GULF is evolving into a broad infrastructure holding company.</t>
  </si>
  <si>
    <t>Data-center/cloud economics could become a more meaningful earnings leg than currently assumed.</t>
  </si>
  <si>
    <t>มี Growth Optionality จาก Energy, ADVANC, Data Center และ Cloud แต่ต้องติดตาม Leverage, Funding Cost และ ROIC ของโครงการใหม่</t>
  </si>
  <si>
    <t>https://www.set.or.th/en/market/product/stock/quote/GULF/factsheet | https://www.set.or.th/en/market/news-and-alert/newsdetails?id=105685400&amp;symbol=GULF | https://www.gulf.co.th/en/investor-relations</t>
  </si>
  <si>
    <t>มี Moat จาก Scale, Long-term Infrastructure/PPA assets, ความสามารถเข้าถึงเงินทุนและโครงการขนาดใหญ่ รวมถึง Strategic Ecosystem ใน Energy–Telecom–Data แต่ต้องติดตามว่าการขยายธุรกิจใหม่จะสร้าง ROIC ได้ยั่งยืนเพียงใด</t>
  </si>
  <si>
    <t>เปรียบเทียบกับ Energy &amp; Utilities / Infrastructure peers โดยเน้น Core Profit, ROIC, Net Debt, PPA quality, Funding Cost และ SOTP</t>
  </si>
  <si>
    <t>State-controlled airport operator. Strategic infrastructure quality is high, while policy and concession decisions remain important.</t>
  </si>
  <si>
    <t>Major Thai airport network with location-based natural-monopoly characteristics, regulated concessions and airline-route network effects.</t>
  </si>
  <si>
    <t>Growth linked to international arrivals, airport capacity, commercial revenue, passenger charges and Thailand's hub strategy.</t>
  </si>
  <si>
    <t>Tourism recovery; passenger growth; airport capacity expansion; non-aeronautical revenue; concession economics.</t>
  </si>
  <si>
    <t>Minimal direct domestic competition for the same locations; competitive benchmark is other regional aviation hubs.</t>
  </si>
  <si>
    <t>Passenger growth provides operating leverage, but earnings growth must be judged against a premium starting valuation.</t>
  </si>
  <si>
    <t>Passenger charges, concessions, airport fees, capacity investment and commercial contracts are policy-sensitive.</t>
  </si>
  <si>
    <t>Thailand tourism and airport-monopoly proxy.</t>
  </si>
  <si>
    <t>9M FY2026 profit grew modestly YoY; tourism, airline capacity and concession terms are central drivers.</t>
  </si>
  <si>
    <t>Tourism shock; concession/regulatory change; government influence; large capex; valuation.</t>
  </si>
  <si>
    <t>One of the strongest moats in SET100 with long-duration aviation infrastructure value.</t>
  </si>
  <si>
    <t>Premium valuation can compress if tourism or commercial revenue grows slower than expected.</t>
  </si>
  <si>
    <t>AOT deserves a premium as Thailand's airport monopoly and tourism proxy.</t>
  </si>
  <si>
    <t>The moat is exceptional, but high valuation leaves limited room for execution disappointment.</t>
  </si>
  <si>
    <t>มี Natural Monopoly Moat ชัดเจนจากสนามบินหลักของประเทศ แต่ราคาหุ้นสะท้อน Premium Valuation และต้องอาศัย Passenger/Commercial Growth ต่อเนื่อง</t>
  </si>
  <si>
    <t>https://www.set.or.th/en/market/product/stock/quote/AOT/factsheet | https://www.set.or.th/en/market/news-and-alert/newsdetails?id=106027100&amp;symbol=AOT | https://investor.airportthai.co.th/</t>
  </si>
  <si>
    <t>มี Moat ชัดเจนจาก Location และสิทธิบริหารสนามบินหลักของประเทศ ลักษณะ Natural Monopoly, Regulation และ Network Effect ของสายการบิน ทำให้การสร้างคู่แข่งทดแทนทำได้ยากมาก</t>
  </si>
  <si>
    <t>เปรียบเทียบกับ Airport Operators / Transportation Infrastructure peers โดยเน้น Passenger Growth, Aero/Non-aero Revenue, EBITDA Margin, Capex และ Valuation</t>
  </si>
  <si>
    <t>Source Registry</t>
  </si>
  <si>
    <t>Source Type</t>
  </si>
  <si>
    <t>Source Name</t>
  </si>
  <si>
    <t>URL</t>
  </si>
  <si>
    <t>Covered Data</t>
  </si>
  <si>
    <t>Source Period / Date</t>
  </si>
  <si>
    <t>Accessed</t>
  </si>
  <si>
    <t>Priority</t>
  </si>
  <si>
    <t>SET Factsheet</t>
  </si>
  <si>
    <t>Price / Market Cap / Valuation / Company facts</t>
  </si>
  <si>
    <t>Primary</t>
  </si>
  <si>
    <t>Latest Reviewed Financial Result</t>
  </si>
  <si>
    <t>Latest NPAT / EPS / financial performance</t>
  </si>
  <si>
    <t>Company IR</t>
  </si>
  <si>
    <t>Investor Relations / Company Website</t>
  </si>
  <si>
    <t>Strategy / operating context / company materials</t>
  </si>
  <si>
    <t>Calculation / SET</t>
  </si>
  <si>
    <t>Debt / EBITDA screening calculation</t>
  </si>
  <si>
    <t>Approx. Debt/EBITDA using SET EV, MCap, cash and EBITDA</t>
  </si>
  <si>
    <t>Q2/2026 / 07 Oct 2026</t>
  </si>
  <si>
    <t>Primary + Calculation</t>
  </si>
  <si>
    <t>Financial Statements Analysis</t>
  </si>
  <si>
    <t>https://www.set.or.th/en/market/product/stock/quote/PTT/financial-statement/financial-statements-analysis</t>
  </si>
  <si>
    <t>Total Interest Bearing Debt / EBITDA = 2.22x</t>
  </si>
  <si>
    <t>6M/2026</t>
  </si>
  <si>
    <t>https://www.set.or.th/th/market/product/stock/quote/ADVANC/financial-statement/financial-statements-analysis</t>
  </si>
  <si>
    <t>Total Interest Bearing Debt / EBITDA = 1.86x</t>
  </si>
  <si>
    <t>https://www.set.or.th/th/market/product/stock/quote/GULF/financial-statement/financial-statements-analysis</t>
  </si>
  <si>
    <t>Total Interest Bearing Debt / EBITDA = 4.20x</t>
  </si>
  <si>
    <t>SET / Calculation</t>
  </si>
  <si>
    <t>Balance sheet + SET EBITDA</t>
  </si>
  <si>
    <t>https://www.set.or.th/th/market/product/stock/quote/AOT/factsheet</t>
  </si>
  <si>
    <t>Debt / EBITDA ≈ 0.24x from interest-bearing borrowings / EBITDA</t>
  </si>
  <si>
    <t>9M FY2026</t>
  </si>
  <si>
    <t>Research Log — 20 Batches</t>
  </si>
  <si>
    <t>MCap Rank Range</t>
  </si>
  <si>
    <t>Tickers</t>
  </si>
  <si>
    <t>Financial Cut</t>
  </si>
  <si>
    <t>QA Status</t>
  </si>
  <si>
    <t>Next Action</t>
  </si>
  <si>
    <t>1–5</t>
  </si>
  <si>
    <t>DELTA / PTT / ADVANC / GULF / AOT</t>
  </si>
  <si>
    <t>Q2/2026; AOT 9M FY2026</t>
  </si>
  <si>
    <t>Reviewed</t>
  </si>
  <si>
    <t>Proceed to Batch 2</t>
  </si>
  <si>
    <t>Order = Market Cap 100%</t>
  </si>
  <si>
    <t>6–10</t>
  </si>
  <si>
    <t>Analyze next 5 by Market Cap</t>
  </si>
  <si>
    <t>11–15</t>
  </si>
  <si>
    <t>16–20</t>
  </si>
  <si>
    <t>21–25</t>
  </si>
  <si>
    <t>26–30</t>
  </si>
  <si>
    <t>31–35</t>
  </si>
  <si>
    <t>36–40</t>
  </si>
  <si>
    <t>41–45</t>
  </si>
  <si>
    <t>46–50</t>
  </si>
  <si>
    <t>51–55</t>
  </si>
  <si>
    <t>56–60</t>
  </si>
  <si>
    <t>61–65</t>
  </si>
  <si>
    <t>66–70</t>
  </si>
  <si>
    <t>71–75</t>
  </si>
  <si>
    <t>76–80</t>
  </si>
  <si>
    <t>81–85</t>
  </si>
  <si>
    <t>86–90</t>
  </si>
  <si>
    <t>91–95</t>
  </si>
  <si>
    <t>96–100</t>
  </si>
  <si>
    <t>Research Summary — รายบริษัท (ไม่มีการจัดอันดับเทียบกัน)</t>
  </si>
  <si>
    <t>ราคา (THB)</t>
  </si>
  <si>
    <t>กำไรสุทธิช่วงล่าสุด (THB mn)</t>
  </si>
  <si>
    <t>กติกาใหม่ของการวิเคราะห์</t>
  </si>
  <si>
    <t>1</t>
  </si>
  <si>
    <t>ไม่เปรียบเทียบหุ้นตัวหนึ่งกับอีกตัวหนึ่ง ไม่ว่าจะอยู่ Batch เดียวกันหรือคนละ Batch</t>
  </si>
  <si>
    <t>2</t>
  </si>
  <si>
    <t>หากใช้ Peer Comparison ให้เทียบกับอุตสาหกรรม/Peer Group ของบริษัทนั้นเท่านั้น</t>
  </si>
  <si>
    <t>3</t>
  </si>
  <si>
    <t>Moat ต้องตอบแบบ Binary ก่อน: มี / ไม่มี แล้วอธิบายเหตุผลและ Durability</t>
  </si>
  <si>
    <t>4</t>
  </si>
  <si>
    <t>Summary ต้องมี Debt / EBITDA สำหรับบริษัททั่วไป</t>
  </si>
  <si>
    <t>5</t>
  </si>
  <si>
    <t>Bank / Finance / Insurance ใช้ Debt / EBITDA = N/A และเปลี่ยนเป็น Capital/Asset-quality metrics ที่เหมาะกับอุตสาหกรรม</t>
  </si>
  <si>
    <t>SET100 Research System — Update Metadata</t>
  </si>
  <si>
    <t>Field</t>
  </si>
  <si>
    <t>Value</t>
  </si>
  <si>
    <t>Meaning</t>
  </si>
  <si>
    <t>Trigger</t>
  </si>
  <si>
    <t>Dashboard Label</t>
  </si>
  <si>
    <t>Action</t>
  </si>
  <si>
    <t>System Version</t>
  </si>
  <si>
    <t>v3</t>
  </si>
  <si>
    <t>Market/Financial/Research review current</t>
  </si>
  <si>
    <t>No newer result identified</t>
  </si>
  <si>
    <t>🟢 Current</t>
  </si>
  <si>
    <t>No action</t>
  </si>
  <si>
    <t>SET100 H2/2026</t>
  </si>
  <si>
    <t>New Results Available</t>
  </si>
  <si>
    <t>New financial results exist but research not yet updated</t>
  </si>
  <si>
    <t>Quarter/annual filing released</t>
  </si>
  <si>
    <t>🟡 New Results Available</t>
  </si>
  <si>
    <t>Refresh financials + thesis review</t>
  </si>
  <si>
    <t>Research Order</t>
  </si>
  <si>
    <t>Market Cap 100%</t>
  </si>
  <si>
    <t>Research Needs Update</t>
  </si>
  <si>
    <t>Material event / valuation / thesis changed</t>
  </si>
  <si>
    <t>Major price, regulation, M&amp;A, guidance, risk event</t>
  </si>
  <si>
    <t>🔴 Research Needs Update</t>
  </si>
  <si>
    <t>Full research review</t>
  </si>
  <si>
    <t>Companies Researched</t>
  </si>
  <si>
    <t>Total Universe</t>
  </si>
  <si>
    <t>100</t>
  </si>
  <si>
    <t>Dashboard Data File</t>
  </si>
  <si>
    <t>Dashboard Feature</t>
  </si>
  <si>
    <t>SET Index date-range filter; default 3 months</t>
  </si>
  <si>
    <t>Personal Comments</t>
  </si>
  <si>
    <t>HTML textarea after Bear Thesis; fixed height; localStorage</t>
  </si>
  <si>
    <t>Comment Privacy</t>
  </si>
  <si>
    <t>Stored only in user's browser/device; not written to public GitHub</t>
  </si>
  <si>
    <t>v5</t>
  </si>
  <si>
    <t>v6</t>
  </si>
  <si>
    <t>Team Comment Source</t>
  </si>
  <si>
    <t>06_Deep_Research!O:O</t>
  </si>
  <si>
    <t>JSON Export</t>
  </si>
  <si>
    <t>GitHub Actions — Excel to data.json</t>
  </si>
  <si>
    <t>Canonical Master</t>
  </si>
  <si>
    <t>Dashboard Comment</t>
  </si>
  <si>
    <t>Shared Team Comment; no localStorage</t>
  </si>
  <si>
    <t>Team Comment 31546351</t>
  </si>
  <si>
    <t xml:space="preserve">ออกความเห็น </t>
  </si>
  <si>
    <t>ทดสอบ ความเห็น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</si>
</sst>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;[Red]\(#,##0.00\);\-"/>
    <numFmt numFmtId="165" formatCode="0.0"/>
    <numFmt numFmtId="166" formatCode="0.0%;[Red]\(0.0%\);\-"/>
    <numFmt numFmtId="167" formatCode="0.0\x;[Red]\(0.0\x\);\-"/>
    <numFmt numFmtId="168" formatCode="0.00\x;[Red]\(0.00\x\);\-"/>
  </numFmts>
  <fonts count="9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b/>
      <sz val="11"/>
      <color rgb="FF008000"/>
      <name val="Carlito"/>
    </font>
    <font>
      <b/>
      <sz val="11"/>
      <color rgb="FF0000FF"/>
      <name val="Carlito"/>
    </font>
  </fonts>
  <fills count="11">
    <fill>
      <patternFill patternType="none"/>
    </fill>
    <fill>
      <patternFill patternType="gray125"/>
    </fill>
    <fill>
      <patternFill patternType="solid">
        <fgColor rgb="FF0B1F33"/>
      </patternFill>
    </fill>
    <fill>
      <patternFill patternType="solid">
        <fgColor rgb="FF17395C"/>
      </patternFill>
    </fill>
    <fill>
      <patternFill patternType="solid">
        <fgColor rgb="FFF4F7FB"/>
      </patternFill>
    </fill>
    <fill>
      <patternFill patternType="solid">
        <fgColor rgb="FF17395C"/>
      </patternFill>
    </fill>
    <fill>
      <patternFill patternType="solid">
        <fgColor rgb="FF0B1F33"/>
      </patternFill>
    </fill>
    <fill>
      <patternFill patternType="solid">
        <fgColor rgb="FF0B1F33"/>
      </patternFill>
    </fill>
    <fill>
      <patternFill patternType="solid">
        <fgColor rgb="FF17395C"/>
      </patternFill>
    </fill>
    <fill>
      <patternFill patternType="solid">
        <fgColor rgb="FF17395C"/>
      </patternFill>
    </fill>
    <fill>
      <patternFill patternType="solid">
        <fgColor rgb="FFFFFC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3" borderId="0" xfId="0" applyFont="1" applyFill="1" applyAlignment="1">
      <alignment horizontal="center" vertical="center"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4" fontId="4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165" fontId="4" fillId="0" borderId="0" xfId="0" applyNumberFormat="1" applyFont="1" applyAlignment="1">
      <alignment wrapText="1"/>
    </xf>
    <xf numFmtId="165" fontId="5" fillId="0" borderId="0" xfId="0" applyNumberFormat="1" applyFont="1" applyAlignment="1">
      <alignment wrapText="1"/>
    </xf>
    <xf numFmtId="165" fontId="0" fillId="0" borderId="0" xfId="0" applyNumberFormat="1" applyAlignment="1">
      <alignment wrapText="1"/>
    </xf>
    <xf numFmtId="166" fontId="5" fillId="0" borderId="0" xfId="0" applyNumberFormat="1" applyFont="1" applyAlignment="1">
      <alignment wrapText="1"/>
    </xf>
    <xf numFmtId="167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8" fontId="4" fillId="0" borderId="0" xfId="0" applyNumberFormat="1" applyFont="1" applyAlignment="1">
      <alignment wrapText="1"/>
    </xf>
    <xf numFmtId="166" fontId="4" fillId="0" borderId="0" xfId="0" applyNumberFormat="1" applyFont="1" applyAlignment="1">
      <alignment wrapText="1"/>
    </xf>
    <xf numFmtId="168" fontId="0" fillId="0" borderId="0" xfId="0" applyNumberFormat="1" applyAlignment="1">
      <alignment wrapText="1"/>
    </xf>
    <xf numFmtId="165" fontId="6" fillId="0" borderId="0" xfId="0" applyNumberFormat="1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0" fontId="6" fillId="0" borderId="0" xfId="0" applyFont="1" applyAlignment="1">
      <alignment wrapText="1"/>
    </xf>
    <xf numFmtId="164" fontId="6" fillId="0" borderId="0" xfId="0" applyNumberFormat="1" applyFont="1" applyAlignment="1">
      <alignment wrapText="1"/>
    </xf>
    <xf numFmtId="168" fontId="6" fillId="0" borderId="0" xfId="0" applyNumberFormat="1" applyFont="1" applyAlignment="1">
      <alignment wrapText="1"/>
    </xf>
    <xf numFmtId="0" fontId="3" fillId="4" borderId="0" xfId="0" applyFont="1" applyFill="1" applyAlignment="1">
      <alignment wrapText="1"/>
    </xf>
    <xf numFmtId="0" fontId="0" fillId="4" borderId="0" xfId="0" applyFill="1" applyAlignment="1">
      <alignment wrapText="1"/>
    </xf>
    <xf numFmtId="164" fontId="7" fillId="4" borderId="0" xfId="0" applyNumberFormat="1" applyFont="1" applyFill="1" applyAlignment="1">
      <alignment wrapText="1"/>
    </xf>
    <xf numFmtId="164" fontId="6" fillId="4" borderId="0" xfId="0" applyNumberFormat="1" applyFont="1" applyFill="1" applyAlignment="1">
      <alignment wrapText="1"/>
    </xf>
    <xf numFmtId="0" fontId="8" fillId="0" borderId="0" xfId="0" applyFont="1" applyAlignment="1">
      <alignment wrapText="1"/>
    </xf>
    <xf numFmtId="0" fontId="2" fillId="8" borderId="0" xfId="0" applyFont="1" applyFill="1" applyAlignment="1">
      <alignment horizontal="center" wrapText="1"/>
    </xf>
    <xf numFmtId="0" fontId="2" fillId="8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wrapText="1"/>
    </xf>
    <xf numFmtId="0" fontId="4" fillId="10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1" fillId="6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wrapText="1"/>
    </xf>
    <xf numFmtId="0" fontId="2" fillId="5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UniverseTable" displayName="UniverseTable" ref="A3:M103" totalsRowShown="0">
  <tableColumns count="13">
    <tableColumn id="1" xr3:uid="{00000000-0010-0000-0000-000001000000}" name="MCap Rank"/>
    <tableColumn id="2" xr3:uid="{00000000-0010-0000-0000-000002000000}" name="Ticker"/>
    <tableColumn id="3" xr3:uid="{00000000-0010-0000-0000-000003000000}" name="Company"/>
    <tableColumn id="4" xr3:uid="{00000000-0010-0000-0000-000004000000}" name="Sector"/>
    <tableColumn id="5" xr3:uid="{00000000-0010-0000-0000-000005000000}" name="Price (THB)"/>
    <tableColumn id="6" xr3:uid="{00000000-0010-0000-0000-000006000000}" name="Market Cap (THB mn)"/>
    <tableColumn id="7" xr3:uid="{00000000-0010-0000-0000-000007000000}" name="Status"/>
    <tableColumn id="8" xr3:uid="{00000000-0010-0000-0000-000008000000}" name="Batch"/>
    <tableColumn id="9" xr3:uid="{00000000-0010-0000-0000-000009000000}" name="Research Date"/>
    <tableColumn id="10" xr3:uid="{00000000-0010-0000-0000-00000A000000}" name="Financial Period"/>
    <tableColumn id="11" xr3:uid="{00000000-0010-0000-0000-00000B000000}" name="Market Date"/>
    <tableColumn id="12" xr3:uid="{00000000-0010-0000-0000-00000C000000}" name="SET Source"/>
    <tableColumn id="13" xr3:uid="{00000000-0010-0000-0000-00000D000000}" name="IR 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corecardTable" displayName="ScorecardTable" ref="A3:R103" totalsRowShown="0">
  <tableColumns count="18">
    <tableColumn id="1" xr3:uid="{00000000-0010-0000-0100-000001000000}" name="MCap Rank"/>
    <tableColumn id="2" xr3:uid="{00000000-0010-0000-0100-000002000000}" name="Ticker"/>
    <tableColumn id="3" xr3:uid="{00000000-0010-0000-0100-000003000000}" name="Sector"/>
    <tableColumn id="4" xr3:uid="{00000000-0010-0000-0100-000004000000}" name="Valuation Class"/>
    <tableColumn id="5" xr3:uid="{00000000-0010-0000-0100-000005000000}" name="Special Flags"/>
    <tableColumn id="6" xr3:uid="{00000000-0010-0000-0100-000006000000}" name="Business Quality"/>
    <tableColumn id="7" xr3:uid="{00000000-0010-0000-0100-000007000000}" name="Competitive Advantage"/>
    <tableColumn id="8" xr3:uid="{00000000-0010-0000-0100-000008000000}" name="Management"/>
    <tableColumn id="9" xr3:uid="{00000000-0010-0000-0100-000009000000}" name="Growth"/>
    <tableColumn id="10" xr3:uid="{00000000-0010-0000-0100-00000A000000}" name="Financial Strength"/>
    <tableColumn id="11" xr3:uid="{00000000-0010-0000-0100-00000B000000}" name="Valuation"/>
    <tableColumn id="12" xr3:uid="{00000000-0010-0000-0100-00000C000000}" name="Catalysts"/>
    <tableColumn id="13" xr3:uid="{00000000-0010-0000-0100-00000D000000}" name="Risk Profile"/>
    <tableColumn id="14" xr3:uid="{00000000-0010-0000-0100-00000E000000}" name="Overall Score"/>
    <tableColumn id="15" xr3:uid="{00000000-0010-0000-0100-00000F000000}" name="Research Status"/>
    <tableColumn id="16" xr3:uid="{00000000-0010-0000-0100-000010000000}" name="Research Date"/>
    <tableColumn id="17" xr3:uid="{00000000-0010-0000-0100-000011000000}" name="Investor Fit"/>
    <tableColumn id="18" xr3:uid="{00000000-0010-0000-0100-000012000000}" name="B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inancialsTable" displayName="FinancialsTable" ref="A3:L103" totalsRowShown="0">
  <tableColumns count="12">
    <tableColumn id="1" xr3:uid="{00000000-0010-0000-0200-000001000000}" name="Ticker"/>
    <tableColumn id="2" xr3:uid="{00000000-0010-0000-0200-000002000000}" name="Period"/>
    <tableColumn id="3" xr3:uid="{00000000-0010-0000-0200-000003000000}" name="Quarter NPAT (THB mn)"/>
    <tableColumn id="4" xr3:uid="{00000000-0010-0000-0200-000004000000}" name="Period NPAT (THB mn)"/>
    <tableColumn id="5" xr3:uid="{00000000-0010-0000-0200-000005000000}" name="Prior Period NPAT (THB mn)"/>
    <tableColumn id="6" xr3:uid="{00000000-0010-0000-0200-000006000000}" name="NPAT YoY"/>
    <tableColumn id="7" xr3:uid="{00000000-0010-0000-0200-000007000000}" name="EPS / Share"/>
    <tableColumn id="8" xr3:uid="{00000000-0010-0000-0200-000008000000}" name="Revenue (THB mn)"/>
    <tableColumn id="9" xr3:uid="{00000000-0010-0000-0200-000009000000}" name="EBITDA (THB mn)"/>
    <tableColumn id="10" xr3:uid="{00000000-0010-0000-0200-00000A000000}" name="Net Debt/EBITDA"/>
    <tableColumn id="11" xr3:uid="{00000000-0010-0000-0200-00000B000000}" name="Source"/>
    <tableColumn id="12" xr3:uid="{00000000-0010-0000-0200-00000C000000}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aluationTable" displayName="ValuationTable" ref="A3:M103" totalsRowShown="0">
  <tableColumns count="13">
    <tableColumn id="1" xr3:uid="{00000000-0010-0000-0300-000001000000}" name="Ticker"/>
    <tableColumn id="2" xr3:uid="{00000000-0010-0000-0300-000002000000}" name="Price (THB)"/>
    <tableColumn id="3" xr3:uid="{00000000-0010-0000-0300-000003000000}" name="Market Cap (THB mn)"/>
    <tableColumn id="4" xr3:uid="{00000000-0010-0000-0300-000004000000}" name="P/E (x)"/>
    <tableColumn id="5" xr3:uid="{00000000-0010-0000-0300-000005000000}" name="P/BV (x)"/>
    <tableColumn id="6" xr3:uid="{00000000-0010-0000-0300-000006000000}" name="EV/EBITDA (x)"/>
    <tableColumn id="7" xr3:uid="{00000000-0010-0000-0300-000007000000}" name="Dividend Yield"/>
    <tableColumn id="8" xr3:uid="{00000000-0010-0000-0300-000008000000}" name="FCF Yield"/>
    <tableColumn id="9" xr3:uid="{00000000-0010-0000-0300-000009000000}" name="Valuation Method"/>
    <tableColumn id="10" xr3:uid="{00000000-0010-0000-0300-00000A000000}" name="Conclusion"/>
    <tableColumn id="11" xr3:uid="{00000000-0010-0000-0300-00000B000000}" name="Data Date"/>
    <tableColumn id="12" xr3:uid="{00000000-0010-0000-0300-00000C000000}" name="SET Source"/>
    <tableColumn id="13" xr3:uid="{00000000-0010-0000-0300-00000D000000}" name="Interpreta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ecialFlagsTable" displayName="SpecialFlagsTable" ref="A3:L103" totalsRowShown="0">
  <tableColumns count="12">
    <tableColumn id="1" xr3:uid="{00000000-0010-0000-0400-000001000000}" name="Ticker"/>
    <tableColumn id="2" xr3:uid="{00000000-0010-0000-0400-000002000000}" name="Dividend Flag"/>
    <tableColumn id="3" xr3:uid="{00000000-0010-0000-0400-000003000000}" name="Bond Candidate"/>
    <tableColumn id="4" xr3:uid="{00000000-0010-0000-0400-000004000000}" name="Moat Flag"/>
    <tableColumn id="5" xr3:uid="{00000000-0010-0000-0400-000005000000}" name="Growth Flag"/>
    <tableColumn id="6" xr3:uid="{00000000-0010-0000-0400-000006000000}" name="Value Flag"/>
    <tableColumn id="7" xr3:uid="{00000000-0010-0000-0400-000007000000}" name="Low Debt Flag"/>
    <tableColumn id="8" xr3:uid="{00000000-0010-0000-0400-000008000000}" name="Risk Flag"/>
    <tableColumn id="9" xr3:uid="{00000000-0010-0000-0400-000009000000}" name="Overall Score"/>
    <tableColumn id="10" xr3:uid="{00000000-0010-0000-0400-00000A000000}" name="Valuation"/>
    <tableColumn id="11" xr3:uid="{00000000-0010-0000-0400-00000B000000}" name="Key Takeaway"/>
    <tableColumn id="12" xr3:uid="{00000000-0010-0000-0400-00000C000000}" name="Monitorin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ourcesTable" displayName="SourcesTable" ref="A3:H18" totalsRowShown="0">
  <tableColumns count="8">
    <tableColumn id="1" xr3:uid="{00000000-0010-0000-0500-000001000000}" name="Ticker"/>
    <tableColumn id="2" xr3:uid="{00000000-0010-0000-0500-000002000000}" name="Source Type"/>
    <tableColumn id="3" xr3:uid="{00000000-0010-0000-0500-000003000000}" name="Source Name"/>
    <tableColumn id="4" xr3:uid="{00000000-0010-0000-0500-000004000000}" name="URL"/>
    <tableColumn id="5" xr3:uid="{00000000-0010-0000-0500-000005000000}" name="Covered Data"/>
    <tableColumn id="6" xr3:uid="{00000000-0010-0000-0500-000006000000}" name="Source Period / Date"/>
    <tableColumn id="7" xr3:uid="{00000000-0010-0000-0500-000007000000}" name="Accessed"/>
    <tableColumn id="8" xr3:uid="{00000000-0010-0000-0500-000008000000}" name="Priorit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ResearchLogTable" displayName="ResearchLogTable" ref="A3:J23" totalsRowShown="0">
  <tableColumns count="10">
    <tableColumn id="1" xr3:uid="{00000000-0010-0000-0600-000001000000}" name="Batch"/>
    <tableColumn id="2" xr3:uid="{00000000-0010-0000-0600-000002000000}" name="MCap Rank Range"/>
    <tableColumn id="3" xr3:uid="{00000000-0010-0000-0600-000003000000}" name="Tickers"/>
    <tableColumn id="4" xr3:uid="{00000000-0010-0000-0600-000004000000}" name="Status"/>
    <tableColumn id="5" xr3:uid="{00000000-0010-0000-0600-000005000000}" name="Research Date"/>
    <tableColumn id="6" xr3:uid="{00000000-0010-0000-0600-000006000000}" name="Market Date"/>
    <tableColumn id="7" xr3:uid="{00000000-0010-0000-0600-000007000000}" name="Financial Cut"/>
    <tableColumn id="8" xr3:uid="{00000000-0010-0000-0600-000008000000}" name="QA Status"/>
    <tableColumn id="9" xr3:uid="{00000000-0010-0000-0600-000009000000}" name="Next Action"/>
    <tableColumn id="10" xr3:uid="{00000000-0010-0000-0600-00000A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>
      <selection sqref="A1:H1"/>
    </sheetView>
  </sheetViews>
  <sheetFormatPr defaultRowHeight="14"/>
  <cols>
    <col min="1" max="1" width="25" customWidth="1"/>
    <col min="2" max="2" width="80" customWidth="1"/>
    <col min="4" max="4" width="22" customWidth="1"/>
    <col min="5" max="8" width="38" customWidth="1"/>
  </cols>
  <sheetData>
    <row r="1" spans="1:8" ht="20" customHeight="1">
      <c r="A1" s="31" t="s">
        <v>0</v>
      </c>
      <c r="B1" s="32"/>
      <c r="C1" s="32"/>
      <c r="D1" s="32"/>
      <c r="E1" s="32"/>
      <c r="F1" s="32"/>
      <c r="G1" s="32"/>
      <c r="H1" s="32"/>
    </row>
    <row r="3" spans="1:8" ht="20" customHeight="1">
      <c r="A3" s="1" t="s">
        <v>1</v>
      </c>
      <c r="B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</row>
    <row r="4" spans="1:8">
      <c r="A4" s="2" t="s">
        <v>8</v>
      </c>
      <c r="B4" s="3" t="s">
        <v>9</v>
      </c>
      <c r="D4" s="3" t="s">
        <v>10</v>
      </c>
      <c r="E4" s="3" t="s">
        <v>11</v>
      </c>
      <c r="F4" s="3" t="s">
        <v>12</v>
      </c>
      <c r="G4" s="3" t="s">
        <v>13</v>
      </c>
      <c r="H4" s="3" t="s">
        <v>14</v>
      </c>
    </row>
    <row r="5" spans="1:8">
      <c r="A5" s="2" t="s">
        <v>15</v>
      </c>
      <c r="B5" s="3" t="s">
        <v>16</v>
      </c>
      <c r="D5" s="3" t="s">
        <v>17</v>
      </c>
      <c r="E5" s="3" t="s">
        <v>18</v>
      </c>
      <c r="F5" s="3" t="s">
        <v>19</v>
      </c>
      <c r="G5" s="3" t="s">
        <v>20</v>
      </c>
      <c r="H5" s="3" t="s">
        <v>21</v>
      </c>
    </row>
    <row r="6" spans="1:8">
      <c r="A6" s="2" t="s">
        <v>22</v>
      </c>
      <c r="B6" s="3" t="s">
        <v>23</v>
      </c>
      <c r="D6" s="3" t="s">
        <v>24</v>
      </c>
      <c r="E6" s="3" t="s">
        <v>25</v>
      </c>
      <c r="F6" s="3" t="s">
        <v>26</v>
      </c>
      <c r="G6" s="3" t="s">
        <v>27</v>
      </c>
      <c r="H6" s="3" t="s">
        <v>28</v>
      </c>
    </row>
    <row r="7" spans="1:8">
      <c r="A7" s="2" t="s">
        <v>29</v>
      </c>
      <c r="B7" s="3" t="s">
        <v>30</v>
      </c>
      <c r="D7" s="3" t="s">
        <v>31</v>
      </c>
      <c r="E7" s="3" t="s">
        <v>32</v>
      </c>
      <c r="F7" s="3" t="s">
        <v>33</v>
      </c>
      <c r="G7" s="3" t="s">
        <v>34</v>
      </c>
      <c r="H7" s="3" t="s">
        <v>35</v>
      </c>
    </row>
    <row r="8" spans="1:8">
      <c r="A8" s="2" t="s">
        <v>36</v>
      </c>
      <c r="B8" s="3" t="s">
        <v>37</v>
      </c>
    </row>
    <row r="9" spans="1:8">
      <c r="A9" s="2" t="s">
        <v>38</v>
      </c>
      <c r="B9" s="3" t="s">
        <v>39</v>
      </c>
    </row>
    <row r="10" spans="1:8">
      <c r="A10" s="2" t="s">
        <v>40</v>
      </c>
      <c r="B10" s="3" t="s">
        <v>41</v>
      </c>
      <c r="D10" s="26" t="s">
        <v>42</v>
      </c>
      <c r="E10" s="26" t="s">
        <v>43</v>
      </c>
      <c r="F10" s="26" t="s">
        <v>44</v>
      </c>
      <c r="G10" s="26" t="s">
        <v>45</v>
      </c>
      <c r="H10" s="26" t="s">
        <v>46</v>
      </c>
    </row>
    <row r="11" spans="1:8">
      <c r="A11" s="2" t="s">
        <v>47</v>
      </c>
      <c r="B11" s="3" t="s">
        <v>48</v>
      </c>
      <c r="D11" s="3" t="s">
        <v>49</v>
      </c>
      <c r="E11" s="3" t="s">
        <v>50</v>
      </c>
      <c r="F11" s="3" t="s">
        <v>51</v>
      </c>
      <c r="G11" s="3" t="s">
        <v>52</v>
      </c>
      <c r="H11" s="3" t="s">
        <v>53</v>
      </c>
    </row>
    <row r="12" spans="1:8">
      <c r="A12" s="2" t="s">
        <v>54</v>
      </c>
      <c r="B12" s="3" t="s">
        <v>55</v>
      </c>
      <c r="D12" s="3" t="s">
        <v>56</v>
      </c>
      <c r="E12" s="3" t="s">
        <v>57</v>
      </c>
      <c r="F12" s="3" t="s">
        <v>58</v>
      </c>
      <c r="G12" s="3" t="s">
        <v>59</v>
      </c>
      <c r="H12" s="3" t="s">
        <v>60</v>
      </c>
    </row>
    <row r="13" spans="1:8" ht="28">
      <c r="A13" s="2" t="s">
        <v>61</v>
      </c>
      <c r="B13" s="3" t="s">
        <v>62</v>
      </c>
      <c r="D13" s="3" t="s">
        <v>63</v>
      </c>
      <c r="E13" s="3" t="s">
        <v>64</v>
      </c>
      <c r="F13" s="3" t="s">
        <v>65</v>
      </c>
      <c r="G13" s="3" t="s">
        <v>66</v>
      </c>
      <c r="H13" s="3" t="s">
        <v>67</v>
      </c>
    </row>
    <row r="14" spans="1:8">
      <c r="D14" s="3" t="s">
        <v>68</v>
      </c>
      <c r="E14" s="3" t="s">
        <v>69</v>
      </c>
      <c r="F14" s="3" t="s">
        <v>70</v>
      </c>
      <c r="G14" s="3" t="s">
        <v>71</v>
      </c>
      <c r="H14" s="3" t="s">
        <v>72</v>
      </c>
    </row>
    <row r="15" spans="1:8">
      <c r="A15" s="2" t="s">
        <v>73</v>
      </c>
      <c r="B15" s="3" t="s">
        <v>74</v>
      </c>
      <c r="D15" s="3" t="s">
        <v>75</v>
      </c>
      <c r="E15" s="3" t="s">
        <v>76</v>
      </c>
      <c r="F15" s="3" t="s">
        <v>77</v>
      </c>
      <c r="G15" s="3" t="s">
        <v>78</v>
      </c>
      <c r="H15" s="3" t="s">
        <v>79</v>
      </c>
    </row>
    <row r="16" spans="1:8">
      <c r="A16" s="2" t="s">
        <v>80</v>
      </c>
      <c r="B16" s="3" t="s">
        <v>81</v>
      </c>
    </row>
    <row r="17" spans="1:8">
      <c r="A17" s="2" t="s">
        <v>82</v>
      </c>
      <c r="B17" s="3" t="s">
        <v>83</v>
      </c>
      <c r="D17" s="29" t="s">
        <v>84</v>
      </c>
      <c r="E17" s="29" t="s">
        <v>65</v>
      </c>
      <c r="F17" s="29" t="s">
        <v>85</v>
      </c>
      <c r="G17" s="29" t="s">
        <v>86</v>
      </c>
      <c r="H17" s="29" t="s">
        <v>87</v>
      </c>
    </row>
    <row r="18" spans="1:8" ht="28">
      <c r="A18" s="2" t="s">
        <v>88</v>
      </c>
      <c r="B18" s="3" t="s">
        <v>89</v>
      </c>
      <c r="D18" s="3" t="s">
        <v>90</v>
      </c>
      <c r="E18" s="3" t="s">
        <v>91</v>
      </c>
      <c r="F18" s="3" t="s">
        <v>92</v>
      </c>
      <c r="G18" s="3" t="s">
        <v>93</v>
      </c>
      <c r="H18" s="3" t="s">
        <v>94</v>
      </c>
    </row>
    <row r="19" spans="1:8">
      <c r="A19" s="2" t="s">
        <v>95</v>
      </c>
      <c r="B19" s="3" t="s">
        <v>96</v>
      </c>
      <c r="D19" s="3" t="s">
        <v>97</v>
      </c>
      <c r="E19" s="3" t="s">
        <v>98</v>
      </c>
      <c r="F19" s="3" t="s">
        <v>99</v>
      </c>
      <c r="G19" s="3" t="s">
        <v>100</v>
      </c>
      <c r="H19" s="3" t="s">
        <v>101</v>
      </c>
    </row>
    <row r="20" spans="1:8" ht="28">
      <c r="A20" s="2" t="s">
        <v>102</v>
      </c>
      <c r="B20" s="3" t="s">
        <v>103</v>
      </c>
      <c r="D20" s="3" t="s">
        <v>104</v>
      </c>
      <c r="E20" s="3" t="s">
        <v>105</v>
      </c>
      <c r="F20" s="3" t="s">
        <v>106</v>
      </c>
      <c r="G20" s="3" t="s">
        <v>107</v>
      </c>
      <c r="H20" s="3" t="s">
        <v>108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3"/>
  <sheetViews>
    <sheetView workbookViewId="0">
      <pane ySplit="3" topLeftCell="A4" activePane="bottomLeft" state="frozen"/>
      <selection pane="bottomLeft"/>
    </sheetView>
  </sheetViews>
  <sheetFormatPr defaultRowHeight="14"/>
  <cols>
    <col min="1" max="2" width="11" customWidth="1"/>
    <col min="3" max="3" width="34" customWidth="1"/>
    <col min="4" max="4" width="27" customWidth="1"/>
    <col min="5" max="5" width="13" customWidth="1"/>
    <col min="6" max="6" width="18" customWidth="1"/>
    <col min="7" max="7" width="15" customWidth="1"/>
    <col min="8" max="8" width="9" customWidth="1"/>
    <col min="9" max="9" width="14" customWidth="1"/>
    <col min="10" max="10" width="22" customWidth="1"/>
    <col min="11" max="11" width="14" customWidth="1"/>
    <col min="12" max="13" width="55" customWidth="1"/>
    <col min="14" max="14" width="22" customWidth="1"/>
    <col min="15" max="15" width="18" customWidth="1"/>
    <col min="16" max="16" width="24" customWidth="1"/>
    <col min="17" max="17" width="18" customWidth="1"/>
  </cols>
  <sheetData>
    <row r="1" spans="1:17" ht="30" customHeight="1">
      <c r="A1" s="31" t="s">
        <v>109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3" spans="1:17" ht="30" customHeight="1">
      <c r="A3" s="1" t="s">
        <v>110</v>
      </c>
      <c r="B3" s="1" t="s">
        <v>111</v>
      </c>
      <c r="C3" s="1" t="s">
        <v>112</v>
      </c>
      <c r="D3" s="1" t="s">
        <v>113</v>
      </c>
      <c r="E3" s="1" t="s">
        <v>114</v>
      </c>
      <c r="F3" s="1" t="s">
        <v>115</v>
      </c>
      <c r="G3" s="1" t="s">
        <v>75</v>
      </c>
      <c r="H3" s="1" t="s">
        <v>116</v>
      </c>
      <c r="I3" s="1" t="s">
        <v>36</v>
      </c>
      <c r="J3" s="1" t="s">
        <v>117</v>
      </c>
      <c r="K3" s="1" t="s">
        <v>118</v>
      </c>
      <c r="L3" s="1" t="s">
        <v>119</v>
      </c>
      <c r="M3" s="1" t="s">
        <v>120</v>
      </c>
      <c r="N3" s="27" t="s">
        <v>121</v>
      </c>
      <c r="O3" s="27" t="s">
        <v>122</v>
      </c>
      <c r="P3" s="27" t="s">
        <v>123</v>
      </c>
      <c r="Q3" s="27" t="s">
        <v>124</v>
      </c>
    </row>
    <row r="4" spans="1:17" ht="28">
      <c r="A4" s="4">
        <v>1</v>
      </c>
      <c r="B4" s="4" t="s">
        <v>125</v>
      </c>
      <c r="C4" s="4" t="s">
        <v>126</v>
      </c>
      <c r="D4" s="4" t="s">
        <v>127</v>
      </c>
      <c r="E4" s="5">
        <v>268</v>
      </c>
      <c r="F4" s="5">
        <v>3342982.73</v>
      </c>
      <c r="G4" s="4" t="s">
        <v>128</v>
      </c>
      <c r="H4" s="4">
        <v>1</v>
      </c>
      <c r="I4" s="4" t="s">
        <v>37</v>
      </c>
      <c r="J4" s="4" t="s">
        <v>129</v>
      </c>
      <c r="K4" s="4" t="s">
        <v>30</v>
      </c>
      <c r="L4" s="4" t="s">
        <v>130</v>
      </c>
      <c r="M4" s="4" t="s">
        <v>131</v>
      </c>
      <c r="N4" s="4" t="s">
        <v>132</v>
      </c>
      <c r="O4" s="4" t="s">
        <v>30</v>
      </c>
      <c r="P4" s="4" t="s">
        <v>129</v>
      </c>
      <c r="Q4" s="4" t="s">
        <v>37</v>
      </c>
    </row>
    <row r="5" spans="1:17">
      <c r="A5" s="4">
        <v>2</v>
      </c>
      <c r="B5" s="4" t="s">
        <v>133</v>
      </c>
      <c r="C5" s="4" t="s">
        <v>134</v>
      </c>
      <c r="D5" s="4" t="s">
        <v>135</v>
      </c>
      <c r="E5" s="5">
        <v>40.5</v>
      </c>
      <c r="F5" s="5">
        <v>1156801.3500000001</v>
      </c>
      <c r="G5" s="4" t="s">
        <v>128</v>
      </c>
      <c r="H5" s="4">
        <v>1</v>
      </c>
      <c r="I5" s="4" t="s">
        <v>37</v>
      </c>
      <c r="J5" s="4" t="s">
        <v>129</v>
      </c>
      <c r="K5" s="4" t="s">
        <v>30</v>
      </c>
      <c r="L5" s="4" t="s">
        <v>136</v>
      </c>
      <c r="M5" s="4" t="s">
        <v>137</v>
      </c>
      <c r="N5" s="4" t="s">
        <v>132</v>
      </c>
      <c r="O5" s="4" t="s">
        <v>30</v>
      </c>
      <c r="P5" s="4" t="s">
        <v>129</v>
      </c>
      <c r="Q5" s="4" t="s">
        <v>37</v>
      </c>
    </row>
    <row r="6" spans="1:17" ht="28">
      <c r="A6" s="4">
        <v>3</v>
      </c>
      <c r="B6" s="4" t="s">
        <v>138</v>
      </c>
      <c r="C6" s="4" t="s">
        <v>139</v>
      </c>
      <c r="D6" s="4" t="s">
        <v>140</v>
      </c>
      <c r="E6" s="5">
        <v>339</v>
      </c>
      <c r="F6" s="5">
        <v>1008257.19</v>
      </c>
      <c r="G6" s="4" t="s">
        <v>128</v>
      </c>
      <c r="H6" s="4">
        <v>1</v>
      </c>
      <c r="I6" s="4" t="s">
        <v>37</v>
      </c>
      <c r="J6" s="4" t="s">
        <v>129</v>
      </c>
      <c r="K6" s="4" t="s">
        <v>30</v>
      </c>
      <c r="L6" s="4" t="s">
        <v>141</v>
      </c>
      <c r="M6" s="4" t="s">
        <v>142</v>
      </c>
      <c r="N6" s="4" t="s">
        <v>132</v>
      </c>
      <c r="O6" s="4" t="s">
        <v>30</v>
      </c>
      <c r="P6" s="4" t="s">
        <v>129</v>
      </c>
      <c r="Q6" s="4" t="s">
        <v>37</v>
      </c>
    </row>
    <row r="7" spans="1:17" ht="28">
      <c r="A7" s="4">
        <v>4</v>
      </c>
      <c r="B7" s="4" t="s">
        <v>143</v>
      </c>
      <c r="C7" s="4" t="s">
        <v>144</v>
      </c>
      <c r="D7" s="4" t="s">
        <v>135</v>
      </c>
      <c r="E7" s="5">
        <v>59.75</v>
      </c>
      <c r="F7" s="5">
        <v>892655.3</v>
      </c>
      <c r="G7" s="4" t="s">
        <v>128</v>
      </c>
      <c r="H7" s="4">
        <v>1</v>
      </c>
      <c r="I7" s="4" t="s">
        <v>37</v>
      </c>
      <c r="J7" s="4" t="s">
        <v>129</v>
      </c>
      <c r="K7" s="4" t="s">
        <v>30</v>
      </c>
      <c r="L7" s="4" t="s">
        <v>145</v>
      </c>
      <c r="M7" s="4" t="s">
        <v>146</v>
      </c>
      <c r="N7" s="4" t="s">
        <v>132</v>
      </c>
      <c r="O7" s="4" t="s">
        <v>30</v>
      </c>
      <c r="P7" s="4" t="s">
        <v>129</v>
      </c>
      <c r="Q7" s="4" t="s">
        <v>37</v>
      </c>
    </row>
    <row r="8" spans="1:17">
      <c r="A8" s="4">
        <v>5</v>
      </c>
      <c r="B8" s="4" t="s">
        <v>147</v>
      </c>
      <c r="C8" s="4" t="s">
        <v>148</v>
      </c>
      <c r="D8" s="4" t="s">
        <v>149</v>
      </c>
      <c r="E8" s="5">
        <v>59.75</v>
      </c>
      <c r="F8" s="5">
        <v>853570.58</v>
      </c>
      <c r="G8" s="4" t="s">
        <v>128</v>
      </c>
      <c r="H8" s="4">
        <v>1</v>
      </c>
      <c r="I8" s="4" t="s">
        <v>37</v>
      </c>
      <c r="J8" s="4" t="s">
        <v>150</v>
      </c>
      <c r="K8" s="4" t="s">
        <v>30</v>
      </c>
      <c r="L8" s="4" t="s">
        <v>151</v>
      </c>
      <c r="M8" s="4" t="s">
        <v>152</v>
      </c>
      <c r="N8" s="4" t="s">
        <v>132</v>
      </c>
      <c r="O8" s="4" t="s">
        <v>30</v>
      </c>
      <c r="P8" s="4" t="s">
        <v>150</v>
      </c>
      <c r="Q8" s="4" t="s">
        <v>37</v>
      </c>
    </row>
    <row r="9" spans="1:17">
      <c r="A9" s="3">
        <v>6</v>
      </c>
      <c r="B9" s="3"/>
      <c r="C9" s="3"/>
      <c r="D9" s="3"/>
      <c r="E9" s="6"/>
      <c r="F9" s="6"/>
      <c r="G9" s="3" t="s">
        <v>153</v>
      </c>
      <c r="H9" s="3"/>
      <c r="I9" s="3"/>
      <c r="J9" s="3"/>
      <c r="K9" s="3"/>
      <c r="L9" s="3"/>
      <c r="M9" s="3"/>
      <c r="N9" s="3" t="s">
        <v>153</v>
      </c>
      <c r="O9" s="3"/>
      <c r="P9" s="3"/>
      <c r="Q9" s="3"/>
    </row>
    <row r="10" spans="1:17">
      <c r="A10" s="3">
        <v>7</v>
      </c>
      <c r="B10" s="3"/>
      <c r="C10" s="3"/>
      <c r="D10" s="3"/>
      <c r="E10" s="6"/>
      <c r="F10" s="6"/>
      <c r="G10" s="3" t="s">
        <v>153</v>
      </c>
      <c r="H10" s="3"/>
      <c r="I10" s="3"/>
      <c r="J10" s="3"/>
      <c r="K10" s="3"/>
      <c r="L10" s="3"/>
      <c r="M10" s="3"/>
      <c r="N10" s="3" t="s">
        <v>153</v>
      </c>
      <c r="O10" s="3"/>
      <c r="P10" s="3"/>
      <c r="Q10" s="3"/>
    </row>
    <row r="11" spans="1:17">
      <c r="A11" s="3">
        <v>8</v>
      </c>
      <c r="B11" s="3"/>
      <c r="C11" s="3"/>
      <c r="D11" s="3"/>
      <c r="E11" s="6"/>
      <c r="F11" s="6"/>
      <c r="G11" s="3" t="s">
        <v>153</v>
      </c>
      <c r="H11" s="3"/>
      <c r="I11" s="3"/>
      <c r="J11" s="3"/>
      <c r="K11" s="3"/>
      <c r="L11" s="3"/>
      <c r="M11" s="3"/>
      <c r="N11" s="3" t="s">
        <v>153</v>
      </c>
      <c r="O11" s="3"/>
      <c r="P11" s="3"/>
      <c r="Q11" s="3"/>
    </row>
    <row r="12" spans="1:17">
      <c r="A12" s="3">
        <v>9</v>
      </c>
      <c r="B12" s="3"/>
      <c r="C12" s="3"/>
      <c r="D12" s="3"/>
      <c r="E12" s="6"/>
      <c r="F12" s="6"/>
      <c r="G12" s="3" t="s">
        <v>153</v>
      </c>
      <c r="H12" s="3"/>
      <c r="I12" s="3"/>
      <c r="J12" s="3"/>
      <c r="K12" s="3"/>
      <c r="L12" s="3"/>
      <c r="M12" s="3"/>
      <c r="N12" s="3" t="s">
        <v>153</v>
      </c>
      <c r="O12" s="3"/>
      <c r="P12" s="3"/>
      <c r="Q12" s="3"/>
    </row>
    <row r="13" spans="1:17">
      <c r="A13" s="3">
        <v>10</v>
      </c>
      <c r="B13" s="3"/>
      <c r="C13" s="3"/>
      <c r="D13" s="3"/>
      <c r="E13" s="6"/>
      <c r="F13" s="6"/>
      <c r="G13" s="3" t="s">
        <v>153</v>
      </c>
      <c r="H13" s="3"/>
      <c r="I13" s="3"/>
      <c r="J13" s="3"/>
      <c r="K13" s="3"/>
      <c r="L13" s="3"/>
      <c r="M13" s="3"/>
      <c r="N13" s="3" t="s">
        <v>153</v>
      </c>
      <c r="O13" s="3"/>
      <c r="P13" s="3"/>
      <c r="Q13" s="3"/>
    </row>
    <row r="14" spans="1:17">
      <c r="A14" s="3">
        <v>11</v>
      </c>
      <c r="B14" s="3"/>
      <c r="C14" s="3"/>
      <c r="D14" s="3"/>
      <c r="E14" s="6"/>
      <c r="F14" s="6"/>
      <c r="G14" s="3" t="s">
        <v>153</v>
      </c>
      <c r="H14" s="3"/>
      <c r="I14" s="3"/>
      <c r="J14" s="3"/>
      <c r="K14" s="3"/>
      <c r="L14" s="3"/>
      <c r="M14" s="3"/>
      <c r="N14" s="3" t="s">
        <v>153</v>
      </c>
      <c r="O14" s="3"/>
      <c r="P14" s="3"/>
      <c r="Q14" s="3"/>
    </row>
    <row r="15" spans="1:17">
      <c r="A15" s="3">
        <v>12</v>
      </c>
      <c r="B15" s="3"/>
      <c r="C15" s="3"/>
      <c r="D15" s="3"/>
      <c r="E15" s="6"/>
      <c r="F15" s="6"/>
      <c r="G15" s="3" t="s">
        <v>153</v>
      </c>
      <c r="H15" s="3"/>
      <c r="I15" s="3"/>
      <c r="J15" s="3"/>
      <c r="K15" s="3"/>
      <c r="L15" s="3"/>
      <c r="M15" s="3"/>
      <c r="N15" s="3" t="s">
        <v>153</v>
      </c>
      <c r="O15" s="3"/>
      <c r="P15" s="3"/>
      <c r="Q15" s="3"/>
    </row>
    <row r="16" spans="1:17">
      <c r="A16" s="3">
        <v>13</v>
      </c>
      <c r="B16" s="3"/>
      <c r="C16" s="3"/>
      <c r="D16" s="3"/>
      <c r="E16" s="6"/>
      <c r="F16" s="6"/>
      <c r="G16" s="3" t="s">
        <v>153</v>
      </c>
      <c r="H16" s="3"/>
      <c r="I16" s="3"/>
      <c r="J16" s="3"/>
      <c r="K16" s="3"/>
      <c r="L16" s="3"/>
      <c r="M16" s="3"/>
      <c r="N16" s="3" t="s">
        <v>153</v>
      </c>
      <c r="O16" s="3"/>
      <c r="P16" s="3"/>
      <c r="Q16" s="3"/>
    </row>
    <row r="17" spans="1:17">
      <c r="A17" s="3">
        <v>14</v>
      </c>
      <c r="B17" s="3"/>
      <c r="C17" s="3"/>
      <c r="D17" s="3"/>
      <c r="E17" s="6"/>
      <c r="F17" s="6"/>
      <c r="G17" s="3" t="s">
        <v>153</v>
      </c>
      <c r="H17" s="3"/>
      <c r="I17" s="3"/>
      <c r="J17" s="3"/>
      <c r="K17" s="3"/>
      <c r="L17" s="3"/>
      <c r="M17" s="3"/>
      <c r="N17" s="3" t="s">
        <v>153</v>
      </c>
      <c r="O17" s="3"/>
      <c r="P17" s="3"/>
      <c r="Q17" s="3"/>
    </row>
    <row r="18" spans="1:17">
      <c r="A18" s="3">
        <v>15</v>
      </c>
      <c r="B18" s="3"/>
      <c r="C18" s="3"/>
      <c r="D18" s="3"/>
      <c r="E18" s="6"/>
      <c r="F18" s="6"/>
      <c r="G18" s="3" t="s">
        <v>153</v>
      </c>
      <c r="H18" s="3"/>
      <c r="I18" s="3"/>
      <c r="J18" s="3"/>
      <c r="K18" s="3"/>
      <c r="L18" s="3"/>
      <c r="M18" s="3"/>
      <c r="N18" s="3" t="s">
        <v>153</v>
      </c>
      <c r="O18" s="3"/>
      <c r="P18" s="3"/>
      <c r="Q18" s="3"/>
    </row>
    <row r="19" spans="1:17">
      <c r="A19" s="3">
        <v>16</v>
      </c>
      <c r="B19" s="3"/>
      <c r="C19" s="3"/>
      <c r="D19" s="3"/>
      <c r="E19" s="6"/>
      <c r="F19" s="6"/>
      <c r="G19" s="3" t="s">
        <v>153</v>
      </c>
      <c r="H19" s="3"/>
      <c r="I19" s="3"/>
      <c r="J19" s="3"/>
      <c r="K19" s="3"/>
      <c r="L19" s="3"/>
      <c r="M19" s="3"/>
      <c r="N19" s="3" t="s">
        <v>153</v>
      </c>
      <c r="O19" s="3"/>
      <c r="P19" s="3"/>
      <c r="Q19" s="3"/>
    </row>
    <row r="20" spans="1:17">
      <c r="A20" s="3">
        <v>17</v>
      </c>
      <c r="B20" s="3"/>
      <c r="C20" s="3"/>
      <c r="D20" s="3"/>
      <c r="E20" s="6"/>
      <c r="F20" s="6"/>
      <c r="G20" s="3" t="s">
        <v>153</v>
      </c>
      <c r="H20" s="3"/>
      <c r="I20" s="3"/>
      <c r="J20" s="3"/>
      <c r="K20" s="3"/>
      <c r="L20" s="3"/>
      <c r="M20" s="3"/>
      <c r="N20" s="3" t="s">
        <v>153</v>
      </c>
      <c r="O20" s="3"/>
      <c r="P20" s="3"/>
      <c r="Q20" s="3"/>
    </row>
    <row r="21" spans="1:17">
      <c r="A21" s="3">
        <v>18</v>
      </c>
      <c r="B21" s="3"/>
      <c r="C21" s="3"/>
      <c r="D21" s="3"/>
      <c r="E21" s="6"/>
      <c r="F21" s="6"/>
      <c r="G21" s="3" t="s">
        <v>153</v>
      </c>
      <c r="H21" s="3"/>
      <c r="I21" s="3"/>
      <c r="J21" s="3"/>
      <c r="K21" s="3"/>
      <c r="L21" s="3"/>
      <c r="M21" s="3"/>
      <c r="N21" s="3" t="s">
        <v>153</v>
      </c>
      <c r="O21" s="3"/>
      <c r="P21" s="3"/>
      <c r="Q21" s="3"/>
    </row>
    <row r="22" spans="1:17">
      <c r="A22" s="3">
        <v>19</v>
      </c>
      <c r="B22" s="3"/>
      <c r="C22" s="3"/>
      <c r="D22" s="3"/>
      <c r="E22" s="6"/>
      <c r="F22" s="6"/>
      <c r="G22" s="3" t="s">
        <v>153</v>
      </c>
      <c r="H22" s="3"/>
      <c r="I22" s="3"/>
      <c r="J22" s="3"/>
      <c r="K22" s="3"/>
      <c r="L22" s="3"/>
      <c r="M22" s="3"/>
      <c r="N22" s="3" t="s">
        <v>153</v>
      </c>
      <c r="O22" s="3"/>
      <c r="P22" s="3"/>
      <c r="Q22" s="3"/>
    </row>
    <row r="23" spans="1:17">
      <c r="A23" s="3">
        <v>20</v>
      </c>
      <c r="B23" s="3"/>
      <c r="C23" s="3"/>
      <c r="D23" s="3"/>
      <c r="E23" s="6"/>
      <c r="F23" s="6"/>
      <c r="G23" s="3" t="s">
        <v>153</v>
      </c>
      <c r="H23" s="3"/>
      <c r="I23" s="3"/>
      <c r="J23" s="3"/>
      <c r="K23" s="3"/>
      <c r="L23" s="3"/>
      <c r="M23" s="3"/>
      <c r="N23" s="3" t="s">
        <v>153</v>
      </c>
      <c r="O23" s="3"/>
      <c r="P23" s="3"/>
      <c r="Q23" s="3"/>
    </row>
    <row r="24" spans="1:17">
      <c r="A24" s="3">
        <v>21</v>
      </c>
      <c r="B24" s="3"/>
      <c r="C24" s="3"/>
      <c r="D24" s="3"/>
      <c r="E24" s="6"/>
      <c r="F24" s="6"/>
      <c r="G24" s="3" t="s">
        <v>153</v>
      </c>
      <c r="H24" s="3"/>
      <c r="I24" s="3"/>
      <c r="J24" s="3"/>
      <c r="K24" s="3"/>
      <c r="L24" s="3"/>
      <c r="M24" s="3"/>
      <c r="N24" s="3" t="s">
        <v>153</v>
      </c>
      <c r="O24" s="3"/>
      <c r="P24" s="3"/>
      <c r="Q24" s="3"/>
    </row>
    <row r="25" spans="1:17">
      <c r="A25" s="3">
        <v>22</v>
      </c>
      <c r="B25" s="3"/>
      <c r="C25" s="3"/>
      <c r="D25" s="3"/>
      <c r="E25" s="6"/>
      <c r="F25" s="6"/>
      <c r="G25" s="3" t="s">
        <v>153</v>
      </c>
      <c r="H25" s="3"/>
      <c r="I25" s="3"/>
      <c r="J25" s="3"/>
      <c r="K25" s="3"/>
      <c r="L25" s="3"/>
      <c r="M25" s="3"/>
      <c r="N25" s="3" t="s">
        <v>153</v>
      </c>
      <c r="O25" s="3"/>
      <c r="P25" s="3"/>
      <c r="Q25" s="3"/>
    </row>
    <row r="26" spans="1:17">
      <c r="A26" s="3">
        <v>23</v>
      </c>
      <c r="B26" s="3"/>
      <c r="C26" s="3"/>
      <c r="D26" s="3"/>
      <c r="E26" s="6"/>
      <c r="F26" s="6"/>
      <c r="G26" s="3" t="s">
        <v>153</v>
      </c>
      <c r="H26" s="3"/>
      <c r="I26" s="3"/>
      <c r="J26" s="3"/>
      <c r="K26" s="3"/>
      <c r="L26" s="3"/>
      <c r="M26" s="3"/>
      <c r="N26" s="3" t="s">
        <v>153</v>
      </c>
      <c r="O26" s="3"/>
      <c r="P26" s="3"/>
      <c r="Q26" s="3"/>
    </row>
    <row r="27" spans="1:17">
      <c r="A27" s="3">
        <v>24</v>
      </c>
      <c r="B27" s="3"/>
      <c r="C27" s="3"/>
      <c r="D27" s="3"/>
      <c r="E27" s="6"/>
      <c r="F27" s="6"/>
      <c r="G27" s="3" t="s">
        <v>153</v>
      </c>
      <c r="H27" s="3"/>
      <c r="I27" s="3"/>
      <c r="J27" s="3"/>
      <c r="K27" s="3"/>
      <c r="L27" s="3"/>
      <c r="M27" s="3"/>
      <c r="N27" s="3" t="s">
        <v>153</v>
      </c>
      <c r="O27" s="3"/>
      <c r="P27" s="3"/>
      <c r="Q27" s="3"/>
    </row>
    <row r="28" spans="1:17">
      <c r="A28" s="3">
        <v>25</v>
      </c>
      <c r="B28" s="3"/>
      <c r="C28" s="3"/>
      <c r="D28" s="3"/>
      <c r="E28" s="6"/>
      <c r="F28" s="6"/>
      <c r="G28" s="3" t="s">
        <v>153</v>
      </c>
      <c r="H28" s="3"/>
      <c r="I28" s="3"/>
      <c r="J28" s="3"/>
      <c r="K28" s="3"/>
      <c r="L28" s="3"/>
      <c r="M28" s="3"/>
      <c r="N28" s="3" t="s">
        <v>153</v>
      </c>
      <c r="O28" s="3"/>
      <c r="P28" s="3"/>
      <c r="Q28" s="3"/>
    </row>
    <row r="29" spans="1:17">
      <c r="A29" s="3">
        <v>26</v>
      </c>
      <c r="B29" s="3"/>
      <c r="C29" s="3"/>
      <c r="D29" s="3"/>
      <c r="E29" s="6"/>
      <c r="F29" s="6"/>
      <c r="G29" s="3" t="s">
        <v>153</v>
      </c>
      <c r="H29" s="3"/>
      <c r="I29" s="3"/>
      <c r="J29" s="3"/>
      <c r="K29" s="3"/>
      <c r="L29" s="3"/>
      <c r="M29" s="3"/>
      <c r="N29" s="3" t="s">
        <v>153</v>
      </c>
      <c r="O29" s="3"/>
      <c r="P29" s="3"/>
      <c r="Q29" s="3"/>
    </row>
    <row r="30" spans="1:17">
      <c r="A30" s="3">
        <v>27</v>
      </c>
      <c r="B30" s="3"/>
      <c r="C30" s="3"/>
      <c r="D30" s="3"/>
      <c r="E30" s="6"/>
      <c r="F30" s="6"/>
      <c r="G30" s="3" t="s">
        <v>153</v>
      </c>
      <c r="H30" s="3"/>
      <c r="I30" s="3"/>
      <c r="J30" s="3"/>
      <c r="K30" s="3"/>
      <c r="L30" s="3"/>
      <c r="M30" s="3"/>
      <c r="N30" s="3" t="s">
        <v>153</v>
      </c>
      <c r="O30" s="3"/>
      <c r="P30" s="3"/>
      <c r="Q30" s="3"/>
    </row>
    <row r="31" spans="1:17">
      <c r="A31" s="3">
        <v>28</v>
      </c>
      <c r="B31" s="3"/>
      <c r="C31" s="3"/>
      <c r="D31" s="3"/>
      <c r="E31" s="6"/>
      <c r="F31" s="6"/>
      <c r="G31" s="3" t="s">
        <v>153</v>
      </c>
      <c r="H31" s="3"/>
      <c r="I31" s="3"/>
      <c r="J31" s="3"/>
      <c r="K31" s="3"/>
      <c r="L31" s="3"/>
      <c r="M31" s="3"/>
      <c r="N31" s="3" t="s">
        <v>153</v>
      </c>
      <c r="O31" s="3"/>
      <c r="P31" s="3"/>
      <c r="Q31" s="3"/>
    </row>
    <row r="32" spans="1:17">
      <c r="A32" s="3">
        <v>29</v>
      </c>
      <c r="B32" s="3"/>
      <c r="C32" s="3"/>
      <c r="D32" s="3"/>
      <c r="E32" s="6"/>
      <c r="F32" s="6"/>
      <c r="G32" s="3" t="s">
        <v>153</v>
      </c>
      <c r="H32" s="3"/>
      <c r="I32" s="3"/>
      <c r="J32" s="3"/>
      <c r="K32" s="3"/>
      <c r="L32" s="3"/>
      <c r="M32" s="3"/>
      <c r="N32" s="3" t="s">
        <v>153</v>
      </c>
      <c r="O32" s="3"/>
      <c r="P32" s="3"/>
      <c r="Q32" s="3"/>
    </row>
    <row r="33" spans="1:17">
      <c r="A33" s="3">
        <v>30</v>
      </c>
      <c r="B33" s="3"/>
      <c r="C33" s="3"/>
      <c r="D33" s="3"/>
      <c r="E33" s="6"/>
      <c r="F33" s="6"/>
      <c r="G33" s="3" t="s">
        <v>153</v>
      </c>
      <c r="H33" s="3"/>
      <c r="I33" s="3"/>
      <c r="J33" s="3"/>
      <c r="K33" s="3"/>
      <c r="L33" s="3"/>
      <c r="M33" s="3"/>
      <c r="N33" s="3" t="s">
        <v>153</v>
      </c>
      <c r="O33" s="3"/>
      <c r="P33" s="3"/>
      <c r="Q33" s="3"/>
    </row>
    <row r="34" spans="1:17">
      <c r="A34" s="3">
        <v>31</v>
      </c>
      <c r="B34" s="3"/>
      <c r="C34" s="3"/>
      <c r="D34" s="3"/>
      <c r="E34" s="6"/>
      <c r="F34" s="6"/>
      <c r="G34" s="3" t="s">
        <v>153</v>
      </c>
      <c r="H34" s="3"/>
      <c r="I34" s="3"/>
      <c r="J34" s="3"/>
      <c r="K34" s="3"/>
      <c r="L34" s="3"/>
      <c r="M34" s="3"/>
      <c r="N34" s="3" t="s">
        <v>153</v>
      </c>
      <c r="O34" s="3"/>
      <c r="P34" s="3"/>
      <c r="Q34" s="3"/>
    </row>
    <row r="35" spans="1:17">
      <c r="A35" s="3">
        <v>32</v>
      </c>
      <c r="B35" s="3"/>
      <c r="C35" s="3"/>
      <c r="D35" s="3"/>
      <c r="E35" s="6"/>
      <c r="F35" s="6"/>
      <c r="G35" s="3" t="s">
        <v>153</v>
      </c>
      <c r="H35" s="3"/>
      <c r="I35" s="3"/>
      <c r="J35" s="3"/>
      <c r="K35" s="3"/>
      <c r="L35" s="3"/>
      <c r="M35" s="3"/>
      <c r="N35" s="3" t="s">
        <v>153</v>
      </c>
      <c r="O35" s="3"/>
      <c r="P35" s="3"/>
      <c r="Q35" s="3"/>
    </row>
    <row r="36" spans="1:17">
      <c r="A36" s="3">
        <v>33</v>
      </c>
      <c r="B36" s="3"/>
      <c r="C36" s="3"/>
      <c r="D36" s="3"/>
      <c r="E36" s="6"/>
      <c r="F36" s="6"/>
      <c r="G36" s="3" t="s">
        <v>153</v>
      </c>
      <c r="H36" s="3"/>
      <c r="I36" s="3"/>
      <c r="J36" s="3"/>
      <c r="K36" s="3"/>
      <c r="L36" s="3"/>
      <c r="M36" s="3"/>
      <c r="N36" s="3" t="s">
        <v>153</v>
      </c>
      <c r="O36" s="3"/>
      <c r="P36" s="3"/>
      <c r="Q36" s="3"/>
    </row>
    <row r="37" spans="1:17">
      <c r="A37" s="3">
        <v>34</v>
      </c>
      <c r="B37" s="3"/>
      <c r="C37" s="3"/>
      <c r="D37" s="3"/>
      <c r="E37" s="6"/>
      <c r="F37" s="6"/>
      <c r="G37" s="3" t="s">
        <v>153</v>
      </c>
      <c r="H37" s="3"/>
      <c r="I37" s="3"/>
      <c r="J37" s="3"/>
      <c r="K37" s="3"/>
      <c r="L37" s="3"/>
      <c r="M37" s="3"/>
      <c r="N37" s="3" t="s">
        <v>153</v>
      </c>
      <c r="O37" s="3"/>
      <c r="P37" s="3"/>
      <c r="Q37" s="3"/>
    </row>
    <row r="38" spans="1:17">
      <c r="A38" s="3">
        <v>35</v>
      </c>
      <c r="B38" s="3"/>
      <c r="C38" s="3"/>
      <c r="D38" s="3"/>
      <c r="E38" s="6"/>
      <c r="F38" s="6"/>
      <c r="G38" s="3" t="s">
        <v>153</v>
      </c>
      <c r="H38" s="3"/>
      <c r="I38" s="3"/>
      <c r="J38" s="3"/>
      <c r="K38" s="3"/>
      <c r="L38" s="3"/>
      <c r="M38" s="3"/>
      <c r="N38" s="3" t="s">
        <v>153</v>
      </c>
      <c r="O38" s="3"/>
      <c r="P38" s="3"/>
      <c r="Q38" s="3"/>
    </row>
    <row r="39" spans="1:17">
      <c r="A39" s="3">
        <v>36</v>
      </c>
      <c r="B39" s="3"/>
      <c r="C39" s="3"/>
      <c r="D39" s="3"/>
      <c r="E39" s="6"/>
      <c r="F39" s="6"/>
      <c r="G39" s="3" t="s">
        <v>153</v>
      </c>
      <c r="H39" s="3"/>
      <c r="I39" s="3"/>
      <c r="J39" s="3"/>
      <c r="K39" s="3"/>
      <c r="L39" s="3"/>
      <c r="M39" s="3"/>
      <c r="N39" s="3" t="s">
        <v>153</v>
      </c>
      <c r="O39" s="3"/>
      <c r="P39" s="3"/>
      <c r="Q39" s="3"/>
    </row>
    <row r="40" spans="1:17">
      <c r="A40" s="3">
        <v>37</v>
      </c>
      <c r="B40" s="3"/>
      <c r="C40" s="3"/>
      <c r="D40" s="3"/>
      <c r="E40" s="6"/>
      <c r="F40" s="6"/>
      <c r="G40" s="3" t="s">
        <v>153</v>
      </c>
      <c r="H40" s="3"/>
      <c r="I40" s="3"/>
      <c r="J40" s="3"/>
      <c r="K40" s="3"/>
      <c r="L40" s="3"/>
      <c r="M40" s="3"/>
      <c r="N40" s="3" t="s">
        <v>153</v>
      </c>
      <c r="O40" s="3"/>
      <c r="P40" s="3"/>
      <c r="Q40" s="3"/>
    </row>
    <row r="41" spans="1:17">
      <c r="A41" s="3">
        <v>38</v>
      </c>
      <c r="B41" s="3"/>
      <c r="C41" s="3"/>
      <c r="D41" s="3"/>
      <c r="E41" s="6"/>
      <c r="F41" s="6"/>
      <c r="G41" s="3" t="s">
        <v>153</v>
      </c>
      <c r="H41" s="3"/>
      <c r="I41" s="3"/>
      <c r="J41" s="3"/>
      <c r="K41" s="3"/>
      <c r="L41" s="3"/>
      <c r="M41" s="3"/>
      <c r="N41" s="3" t="s">
        <v>153</v>
      </c>
      <c r="O41" s="3"/>
      <c r="P41" s="3"/>
      <c r="Q41" s="3"/>
    </row>
    <row r="42" spans="1:17">
      <c r="A42" s="3">
        <v>39</v>
      </c>
      <c r="B42" s="3"/>
      <c r="C42" s="3"/>
      <c r="D42" s="3"/>
      <c r="E42" s="6"/>
      <c r="F42" s="6"/>
      <c r="G42" s="3" t="s">
        <v>153</v>
      </c>
      <c r="H42" s="3"/>
      <c r="I42" s="3"/>
      <c r="J42" s="3"/>
      <c r="K42" s="3"/>
      <c r="L42" s="3"/>
      <c r="M42" s="3"/>
      <c r="N42" s="3" t="s">
        <v>153</v>
      </c>
      <c r="O42" s="3"/>
      <c r="P42" s="3"/>
      <c r="Q42" s="3"/>
    </row>
    <row r="43" spans="1:17">
      <c r="A43" s="3">
        <v>40</v>
      </c>
      <c r="B43" s="3"/>
      <c r="C43" s="3"/>
      <c r="D43" s="3"/>
      <c r="E43" s="6"/>
      <c r="F43" s="6"/>
      <c r="G43" s="3" t="s">
        <v>153</v>
      </c>
      <c r="H43" s="3"/>
      <c r="I43" s="3"/>
      <c r="J43" s="3"/>
      <c r="K43" s="3"/>
      <c r="L43" s="3"/>
      <c r="M43" s="3"/>
      <c r="N43" s="3" t="s">
        <v>153</v>
      </c>
      <c r="O43" s="3"/>
      <c r="P43" s="3"/>
      <c r="Q43" s="3"/>
    </row>
    <row r="44" spans="1:17">
      <c r="A44" s="3">
        <v>41</v>
      </c>
      <c r="B44" s="3"/>
      <c r="C44" s="3"/>
      <c r="D44" s="3"/>
      <c r="E44" s="6"/>
      <c r="F44" s="6"/>
      <c r="G44" s="3" t="s">
        <v>153</v>
      </c>
      <c r="H44" s="3"/>
      <c r="I44" s="3"/>
      <c r="J44" s="3"/>
      <c r="K44" s="3"/>
      <c r="L44" s="3"/>
      <c r="M44" s="3"/>
      <c r="N44" s="3" t="s">
        <v>153</v>
      </c>
      <c r="O44" s="3"/>
      <c r="P44" s="3"/>
      <c r="Q44" s="3"/>
    </row>
    <row r="45" spans="1:17">
      <c r="A45" s="3">
        <v>42</v>
      </c>
      <c r="B45" s="3"/>
      <c r="C45" s="3"/>
      <c r="D45" s="3"/>
      <c r="E45" s="6"/>
      <c r="F45" s="6"/>
      <c r="G45" s="3" t="s">
        <v>153</v>
      </c>
      <c r="H45" s="3"/>
      <c r="I45" s="3"/>
      <c r="J45" s="3"/>
      <c r="K45" s="3"/>
      <c r="L45" s="3"/>
      <c r="M45" s="3"/>
      <c r="N45" s="3" t="s">
        <v>153</v>
      </c>
      <c r="O45" s="3"/>
      <c r="P45" s="3"/>
      <c r="Q45" s="3"/>
    </row>
    <row r="46" spans="1:17">
      <c r="A46" s="3">
        <v>43</v>
      </c>
      <c r="B46" s="3"/>
      <c r="C46" s="3"/>
      <c r="D46" s="3"/>
      <c r="E46" s="6"/>
      <c r="F46" s="6"/>
      <c r="G46" s="3" t="s">
        <v>153</v>
      </c>
      <c r="H46" s="3"/>
      <c r="I46" s="3"/>
      <c r="J46" s="3"/>
      <c r="K46" s="3"/>
      <c r="L46" s="3"/>
      <c r="M46" s="3"/>
      <c r="N46" s="3" t="s">
        <v>153</v>
      </c>
      <c r="O46" s="3"/>
      <c r="P46" s="3"/>
      <c r="Q46" s="3"/>
    </row>
    <row r="47" spans="1:17">
      <c r="A47" s="3">
        <v>44</v>
      </c>
      <c r="B47" s="3"/>
      <c r="C47" s="3"/>
      <c r="D47" s="3"/>
      <c r="E47" s="6"/>
      <c r="F47" s="6"/>
      <c r="G47" s="3" t="s">
        <v>153</v>
      </c>
      <c r="H47" s="3"/>
      <c r="I47" s="3"/>
      <c r="J47" s="3"/>
      <c r="K47" s="3"/>
      <c r="L47" s="3"/>
      <c r="M47" s="3"/>
      <c r="N47" s="3" t="s">
        <v>153</v>
      </c>
      <c r="O47" s="3"/>
      <c r="P47" s="3"/>
      <c r="Q47" s="3"/>
    </row>
    <row r="48" spans="1:17">
      <c r="A48" s="3">
        <v>45</v>
      </c>
      <c r="B48" s="3"/>
      <c r="C48" s="3"/>
      <c r="D48" s="3"/>
      <c r="E48" s="6"/>
      <c r="F48" s="6"/>
      <c r="G48" s="3" t="s">
        <v>153</v>
      </c>
      <c r="H48" s="3"/>
      <c r="I48" s="3"/>
      <c r="J48" s="3"/>
      <c r="K48" s="3"/>
      <c r="L48" s="3"/>
      <c r="M48" s="3"/>
      <c r="N48" s="3" t="s">
        <v>153</v>
      </c>
      <c r="O48" s="3"/>
      <c r="P48" s="3"/>
      <c r="Q48" s="3"/>
    </row>
    <row r="49" spans="1:17">
      <c r="A49" s="3">
        <v>46</v>
      </c>
      <c r="B49" s="3"/>
      <c r="C49" s="3"/>
      <c r="D49" s="3"/>
      <c r="E49" s="6"/>
      <c r="F49" s="6"/>
      <c r="G49" s="3" t="s">
        <v>153</v>
      </c>
      <c r="H49" s="3"/>
      <c r="I49" s="3"/>
      <c r="J49" s="3"/>
      <c r="K49" s="3"/>
      <c r="L49" s="3"/>
      <c r="M49" s="3"/>
      <c r="N49" s="3" t="s">
        <v>153</v>
      </c>
      <c r="O49" s="3"/>
      <c r="P49" s="3"/>
      <c r="Q49" s="3"/>
    </row>
    <row r="50" spans="1:17">
      <c r="A50" s="3">
        <v>47</v>
      </c>
      <c r="B50" s="3"/>
      <c r="C50" s="3"/>
      <c r="D50" s="3"/>
      <c r="E50" s="6"/>
      <c r="F50" s="6"/>
      <c r="G50" s="3" t="s">
        <v>153</v>
      </c>
      <c r="H50" s="3"/>
      <c r="I50" s="3"/>
      <c r="J50" s="3"/>
      <c r="K50" s="3"/>
      <c r="L50" s="3"/>
      <c r="M50" s="3"/>
      <c r="N50" s="3" t="s">
        <v>153</v>
      </c>
      <c r="O50" s="3"/>
      <c r="P50" s="3"/>
      <c r="Q50" s="3"/>
    </row>
    <row r="51" spans="1:17">
      <c r="A51" s="3">
        <v>48</v>
      </c>
      <c r="B51" s="3"/>
      <c r="C51" s="3"/>
      <c r="D51" s="3"/>
      <c r="E51" s="6"/>
      <c r="F51" s="6"/>
      <c r="G51" s="3" t="s">
        <v>153</v>
      </c>
      <c r="H51" s="3"/>
      <c r="I51" s="3"/>
      <c r="J51" s="3"/>
      <c r="K51" s="3"/>
      <c r="L51" s="3"/>
      <c r="M51" s="3"/>
      <c r="N51" s="3" t="s">
        <v>153</v>
      </c>
      <c r="O51" s="3"/>
      <c r="P51" s="3"/>
      <c r="Q51" s="3"/>
    </row>
    <row r="52" spans="1:17">
      <c r="A52" s="3">
        <v>49</v>
      </c>
      <c r="B52" s="3"/>
      <c r="C52" s="3"/>
      <c r="D52" s="3"/>
      <c r="E52" s="6"/>
      <c r="F52" s="6"/>
      <c r="G52" s="3" t="s">
        <v>153</v>
      </c>
      <c r="H52" s="3"/>
      <c r="I52" s="3"/>
      <c r="J52" s="3"/>
      <c r="K52" s="3"/>
      <c r="L52" s="3"/>
      <c r="M52" s="3"/>
      <c r="N52" s="3" t="s">
        <v>153</v>
      </c>
      <c r="O52" s="3"/>
      <c r="P52" s="3"/>
      <c r="Q52" s="3"/>
    </row>
    <row r="53" spans="1:17">
      <c r="A53" s="3">
        <v>50</v>
      </c>
      <c r="B53" s="3"/>
      <c r="C53" s="3"/>
      <c r="D53" s="3"/>
      <c r="E53" s="6"/>
      <c r="F53" s="6"/>
      <c r="G53" s="3" t="s">
        <v>153</v>
      </c>
      <c r="H53" s="3"/>
      <c r="I53" s="3"/>
      <c r="J53" s="3"/>
      <c r="K53" s="3"/>
      <c r="L53" s="3"/>
      <c r="M53" s="3"/>
      <c r="N53" s="3" t="s">
        <v>153</v>
      </c>
      <c r="O53" s="3"/>
      <c r="P53" s="3"/>
      <c r="Q53" s="3"/>
    </row>
    <row r="54" spans="1:17">
      <c r="A54" s="3">
        <v>51</v>
      </c>
      <c r="B54" s="3"/>
      <c r="C54" s="3"/>
      <c r="D54" s="3"/>
      <c r="E54" s="6"/>
      <c r="F54" s="6"/>
      <c r="G54" s="3" t="s">
        <v>153</v>
      </c>
      <c r="H54" s="3"/>
      <c r="I54" s="3"/>
      <c r="J54" s="3"/>
      <c r="K54" s="3"/>
      <c r="L54" s="3"/>
      <c r="M54" s="3"/>
      <c r="N54" s="3" t="s">
        <v>153</v>
      </c>
      <c r="O54" s="3"/>
      <c r="P54" s="3"/>
      <c r="Q54" s="3"/>
    </row>
    <row r="55" spans="1:17">
      <c r="A55" s="3">
        <v>52</v>
      </c>
      <c r="B55" s="3"/>
      <c r="C55" s="3"/>
      <c r="D55" s="3"/>
      <c r="E55" s="6"/>
      <c r="F55" s="6"/>
      <c r="G55" s="3" t="s">
        <v>153</v>
      </c>
      <c r="H55" s="3"/>
      <c r="I55" s="3"/>
      <c r="J55" s="3"/>
      <c r="K55" s="3"/>
      <c r="L55" s="3"/>
      <c r="M55" s="3"/>
      <c r="N55" s="3" t="s">
        <v>153</v>
      </c>
      <c r="O55" s="3"/>
      <c r="P55" s="3"/>
      <c r="Q55" s="3"/>
    </row>
    <row r="56" spans="1:17">
      <c r="A56" s="3">
        <v>53</v>
      </c>
      <c r="B56" s="3"/>
      <c r="C56" s="3"/>
      <c r="D56" s="3"/>
      <c r="E56" s="6"/>
      <c r="F56" s="6"/>
      <c r="G56" s="3" t="s">
        <v>153</v>
      </c>
      <c r="H56" s="3"/>
      <c r="I56" s="3"/>
      <c r="J56" s="3"/>
      <c r="K56" s="3"/>
      <c r="L56" s="3"/>
      <c r="M56" s="3"/>
      <c r="N56" s="3" t="s">
        <v>153</v>
      </c>
      <c r="O56" s="3"/>
      <c r="P56" s="3"/>
      <c r="Q56" s="3"/>
    </row>
    <row r="57" spans="1:17">
      <c r="A57" s="3">
        <v>54</v>
      </c>
      <c r="B57" s="3"/>
      <c r="C57" s="3"/>
      <c r="D57" s="3"/>
      <c r="E57" s="6"/>
      <c r="F57" s="6"/>
      <c r="G57" s="3" t="s">
        <v>153</v>
      </c>
      <c r="H57" s="3"/>
      <c r="I57" s="3"/>
      <c r="J57" s="3"/>
      <c r="K57" s="3"/>
      <c r="L57" s="3"/>
      <c r="M57" s="3"/>
      <c r="N57" s="3" t="s">
        <v>153</v>
      </c>
      <c r="O57" s="3"/>
      <c r="P57" s="3"/>
      <c r="Q57" s="3"/>
    </row>
    <row r="58" spans="1:17">
      <c r="A58" s="3">
        <v>55</v>
      </c>
      <c r="B58" s="3"/>
      <c r="C58" s="3"/>
      <c r="D58" s="3"/>
      <c r="E58" s="6"/>
      <c r="F58" s="6"/>
      <c r="G58" s="3" t="s">
        <v>153</v>
      </c>
      <c r="H58" s="3"/>
      <c r="I58" s="3"/>
      <c r="J58" s="3"/>
      <c r="K58" s="3"/>
      <c r="L58" s="3"/>
      <c r="M58" s="3"/>
      <c r="N58" s="3" t="s">
        <v>153</v>
      </c>
      <c r="O58" s="3"/>
      <c r="P58" s="3"/>
      <c r="Q58" s="3"/>
    </row>
    <row r="59" spans="1:17">
      <c r="A59" s="3">
        <v>56</v>
      </c>
      <c r="B59" s="3"/>
      <c r="C59" s="3"/>
      <c r="D59" s="3"/>
      <c r="E59" s="6"/>
      <c r="F59" s="6"/>
      <c r="G59" s="3" t="s">
        <v>153</v>
      </c>
      <c r="H59" s="3"/>
      <c r="I59" s="3"/>
      <c r="J59" s="3"/>
      <c r="K59" s="3"/>
      <c r="L59" s="3"/>
      <c r="M59" s="3"/>
      <c r="N59" s="3" t="s">
        <v>153</v>
      </c>
      <c r="O59" s="3"/>
      <c r="P59" s="3"/>
      <c r="Q59" s="3"/>
    </row>
    <row r="60" spans="1:17">
      <c r="A60" s="3">
        <v>57</v>
      </c>
      <c r="B60" s="3"/>
      <c r="C60" s="3"/>
      <c r="D60" s="3"/>
      <c r="E60" s="6"/>
      <c r="F60" s="6"/>
      <c r="G60" s="3" t="s">
        <v>153</v>
      </c>
      <c r="H60" s="3"/>
      <c r="I60" s="3"/>
      <c r="J60" s="3"/>
      <c r="K60" s="3"/>
      <c r="L60" s="3"/>
      <c r="M60" s="3"/>
      <c r="N60" s="3" t="s">
        <v>153</v>
      </c>
      <c r="O60" s="3"/>
      <c r="P60" s="3"/>
      <c r="Q60" s="3"/>
    </row>
    <row r="61" spans="1:17">
      <c r="A61" s="3">
        <v>58</v>
      </c>
      <c r="B61" s="3"/>
      <c r="C61" s="3"/>
      <c r="D61" s="3"/>
      <c r="E61" s="6"/>
      <c r="F61" s="6"/>
      <c r="G61" s="3" t="s">
        <v>153</v>
      </c>
      <c r="H61" s="3"/>
      <c r="I61" s="3"/>
      <c r="J61" s="3"/>
      <c r="K61" s="3"/>
      <c r="L61" s="3"/>
      <c r="M61" s="3"/>
      <c r="N61" s="3" t="s">
        <v>153</v>
      </c>
      <c r="O61" s="3"/>
      <c r="P61" s="3"/>
      <c r="Q61" s="3"/>
    </row>
    <row r="62" spans="1:17">
      <c r="A62" s="3">
        <v>59</v>
      </c>
      <c r="B62" s="3"/>
      <c r="C62" s="3"/>
      <c r="D62" s="3"/>
      <c r="E62" s="6"/>
      <c r="F62" s="6"/>
      <c r="G62" s="3" t="s">
        <v>153</v>
      </c>
      <c r="H62" s="3"/>
      <c r="I62" s="3"/>
      <c r="J62" s="3"/>
      <c r="K62" s="3"/>
      <c r="L62" s="3"/>
      <c r="M62" s="3"/>
      <c r="N62" s="3" t="s">
        <v>153</v>
      </c>
      <c r="O62" s="3"/>
      <c r="P62" s="3"/>
      <c r="Q62" s="3"/>
    </row>
    <row r="63" spans="1:17">
      <c r="A63" s="3">
        <v>60</v>
      </c>
      <c r="B63" s="3"/>
      <c r="C63" s="3"/>
      <c r="D63" s="3"/>
      <c r="E63" s="6"/>
      <c r="F63" s="6"/>
      <c r="G63" s="3" t="s">
        <v>153</v>
      </c>
      <c r="H63" s="3"/>
      <c r="I63" s="3"/>
      <c r="J63" s="3"/>
      <c r="K63" s="3"/>
      <c r="L63" s="3"/>
      <c r="M63" s="3"/>
      <c r="N63" s="3" t="s">
        <v>153</v>
      </c>
      <c r="O63" s="3"/>
      <c r="P63" s="3"/>
      <c r="Q63" s="3"/>
    </row>
    <row r="64" spans="1:17">
      <c r="A64" s="3">
        <v>61</v>
      </c>
      <c r="B64" s="3"/>
      <c r="C64" s="3"/>
      <c r="D64" s="3"/>
      <c r="E64" s="6"/>
      <c r="F64" s="6"/>
      <c r="G64" s="3" t="s">
        <v>153</v>
      </c>
      <c r="H64" s="3"/>
      <c r="I64" s="3"/>
      <c r="J64" s="3"/>
      <c r="K64" s="3"/>
      <c r="L64" s="3"/>
      <c r="M64" s="3"/>
      <c r="N64" s="3" t="s">
        <v>153</v>
      </c>
      <c r="O64" s="3"/>
      <c r="P64" s="3"/>
      <c r="Q64" s="3"/>
    </row>
    <row r="65" spans="1:17">
      <c r="A65" s="3">
        <v>62</v>
      </c>
      <c r="B65" s="3"/>
      <c r="C65" s="3"/>
      <c r="D65" s="3"/>
      <c r="E65" s="6"/>
      <c r="F65" s="6"/>
      <c r="G65" s="3" t="s">
        <v>153</v>
      </c>
      <c r="H65" s="3"/>
      <c r="I65" s="3"/>
      <c r="J65" s="3"/>
      <c r="K65" s="3"/>
      <c r="L65" s="3"/>
      <c r="M65" s="3"/>
      <c r="N65" s="3" t="s">
        <v>153</v>
      </c>
      <c r="O65" s="3"/>
      <c r="P65" s="3"/>
      <c r="Q65" s="3"/>
    </row>
    <row r="66" spans="1:17">
      <c r="A66" s="3">
        <v>63</v>
      </c>
      <c r="B66" s="3"/>
      <c r="C66" s="3"/>
      <c r="D66" s="3"/>
      <c r="E66" s="6"/>
      <c r="F66" s="6"/>
      <c r="G66" s="3" t="s">
        <v>153</v>
      </c>
      <c r="H66" s="3"/>
      <c r="I66" s="3"/>
      <c r="J66" s="3"/>
      <c r="K66" s="3"/>
      <c r="L66" s="3"/>
      <c r="M66" s="3"/>
      <c r="N66" s="3" t="s">
        <v>153</v>
      </c>
      <c r="O66" s="3"/>
      <c r="P66" s="3"/>
      <c r="Q66" s="3"/>
    </row>
    <row r="67" spans="1:17">
      <c r="A67" s="3">
        <v>64</v>
      </c>
      <c r="B67" s="3"/>
      <c r="C67" s="3"/>
      <c r="D67" s="3"/>
      <c r="E67" s="6"/>
      <c r="F67" s="6"/>
      <c r="G67" s="3" t="s">
        <v>153</v>
      </c>
      <c r="H67" s="3"/>
      <c r="I67" s="3"/>
      <c r="J67" s="3"/>
      <c r="K67" s="3"/>
      <c r="L67" s="3"/>
      <c r="M67" s="3"/>
      <c r="N67" s="3" t="s">
        <v>153</v>
      </c>
      <c r="O67" s="3"/>
      <c r="P67" s="3"/>
      <c r="Q67" s="3"/>
    </row>
    <row r="68" spans="1:17">
      <c r="A68" s="3">
        <v>65</v>
      </c>
      <c r="B68" s="3"/>
      <c r="C68" s="3"/>
      <c r="D68" s="3"/>
      <c r="E68" s="6"/>
      <c r="F68" s="6"/>
      <c r="G68" s="3" t="s">
        <v>153</v>
      </c>
      <c r="H68" s="3"/>
      <c r="I68" s="3"/>
      <c r="J68" s="3"/>
      <c r="K68" s="3"/>
      <c r="L68" s="3"/>
      <c r="M68" s="3"/>
      <c r="N68" s="3" t="s">
        <v>153</v>
      </c>
      <c r="O68" s="3"/>
      <c r="P68" s="3"/>
      <c r="Q68" s="3"/>
    </row>
    <row r="69" spans="1:17">
      <c r="A69" s="3">
        <v>66</v>
      </c>
      <c r="B69" s="3"/>
      <c r="C69" s="3"/>
      <c r="D69" s="3"/>
      <c r="E69" s="6"/>
      <c r="F69" s="6"/>
      <c r="G69" s="3" t="s">
        <v>153</v>
      </c>
      <c r="H69" s="3"/>
      <c r="I69" s="3"/>
      <c r="J69" s="3"/>
      <c r="K69" s="3"/>
      <c r="L69" s="3"/>
      <c r="M69" s="3"/>
      <c r="N69" s="3" t="s">
        <v>153</v>
      </c>
      <c r="O69" s="3"/>
      <c r="P69" s="3"/>
      <c r="Q69" s="3"/>
    </row>
    <row r="70" spans="1:17">
      <c r="A70" s="3">
        <v>67</v>
      </c>
      <c r="B70" s="3"/>
      <c r="C70" s="3"/>
      <c r="D70" s="3"/>
      <c r="E70" s="6"/>
      <c r="F70" s="6"/>
      <c r="G70" s="3" t="s">
        <v>153</v>
      </c>
      <c r="H70" s="3"/>
      <c r="I70" s="3"/>
      <c r="J70" s="3"/>
      <c r="K70" s="3"/>
      <c r="L70" s="3"/>
      <c r="M70" s="3"/>
      <c r="N70" s="3" t="s">
        <v>153</v>
      </c>
      <c r="O70" s="3"/>
      <c r="P70" s="3"/>
      <c r="Q70" s="3"/>
    </row>
    <row r="71" spans="1:17">
      <c r="A71" s="3">
        <v>68</v>
      </c>
      <c r="B71" s="3"/>
      <c r="C71" s="3"/>
      <c r="D71" s="3"/>
      <c r="E71" s="6"/>
      <c r="F71" s="6"/>
      <c r="G71" s="3" t="s">
        <v>153</v>
      </c>
      <c r="H71" s="3"/>
      <c r="I71" s="3"/>
      <c r="J71" s="3"/>
      <c r="K71" s="3"/>
      <c r="L71" s="3"/>
      <c r="M71" s="3"/>
      <c r="N71" s="3" t="s">
        <v>153</v>
      </c>
      <c r="O71" s="3"/>
      <c r="P71" s="3"/>
      <c r="Q71" s="3"/>
    </row>
    <row r="72" spans="1:17">
      <c r="A72" s="3">
        <v>69</v>
      </c>
      <c r="B72" s="3"/>
      <c r="C72" s="3"/>
      <c r="D72" s="3"/>
      <c r="E72" s="6"/>
      <c r="F72" s="6"/>
      <c r="G72" s="3" t="s">
        <v>153</v>
      </c>
      <c r="H72" s="3"/>
      <c r="I72" s="3"/>
      <c r="J72" s="3"/>
      <c r="K72" s="3"/>
      <c r="L72" s="3"/>
      <c r="M72" s="3"/>
      <c r="N72" s="3" t="s">
        <v>153</v>
      </c>
      <c r="O72" s="3"/>
      <c r="P72" s="3"/>
      <c r="Q72" s="3"/>
    </row>
    <row r="73" spans="1:17">
      <c r="A73" s="3">
        <v>70</v>
      </c>
      <c r="B73" s="3"/>
      <c r="C73" s="3"/>
      <c r="D73" s="3"/>
      <c r="E73" s="6"/>
      <c r="F73" s="6"/>
      <c r="G73" s="3" t="s">
        <v>153</v>
      </c>
      <c r="H73" s="3"/>
      <c r="I73" s="3"/>
      <c r="J73" s="3"/>
      <c r="K73" s="3"/>
      <c r="L73" s="3"/>
      <c r="M73" s="3"/>
      <c r="N73" s="3" t="s">
        <v>153</v>
      </c>
      <c r="O73" s="3"/>
      <c r="P73" s="3"/>
      <c r="Q73" s="3"/>
    </row>
    <row r="74" spans="1:17">
      <c r="A74" s="3">
        <v>71</v>
      </c>
      <c r="B74" s="3"/>
      <c r="C74" s="3"/>
      <c r="D74" s="3"/>
      <c r="E74" s="6"/>
      <c r="F74" s="6"/>
      <c r="G74" s="3" t="s">
        <v>153</v>
      </c>
      <c r="H74" s="3"/>
      <c r="I74" s="3"/>
      <c r="J74" s="3"/>
      <c r="K74" s="3"/>
      <c r="L74" s="3"/>
      <c r="M74" s="3"/>
      <c r="N74" s="3" t="s">
        <v>153</v>
      </c>
      <c r="O74" s="3"/>
      <c r="P74" s="3"/>
      <c r="Q74" s="3"/>
    </row>
    <row r="75" spans="1:17">
      <c r="A75" s="3">
        <v>72</v>
      </c>
      <c r="B75" s="3"/>
      <c r="C75" s="3"/>
      <c r="D75" s="3"/>
      <c r="E75" s="6"/>
      <c r="F75" s="6"/>
      <c r="G75" s="3" t="s">
        <v>153</v>
      </c>
      <c r="H75" s="3"/>
      <c r="I75" s="3"/>
      <c r="J75" s="3"/>
      <c r="K75" s="3"/>
      <c r="L75" s="3"/>
      <c r="M75" s="3"/>
      <c r="N75" s="3" t="s">
        <v>153</v>
      </c>
      <c r="O75" s="3"/>
      <c r="P75" s="3"/>
      <c r="Q75" s="3"/>
    </row>
    <row r="76" spans="1:17">
      <c r="A76" s="3">
        <v>73</v>
      </c>
      <c r="B76" s="3"/>
      <c r="C76" s="3"/>
      <c r="D76" s="3"/>
      <c r="E76" s="6"/>
      <c r="F76" s="6"/>
      <c r="G76" s="3" t="s">
        <v>153</v>
      </c>
      <c r="H76" s="3"/>
      <c r="I76" s="3"/>
      <c r="J76" s="3"/>
      <c r="K76" s="3"/>
      <c r="L76" s="3"/>
      <c r="M76" s="3"/>
      <c r="N76" s="3" t="s">
        <v>153</v>
      </c>
      <c r="O76" s="3"/>
      <c r="P76" s="3"/>
      <c r="Q76" s="3"/>
    </row>
    <row r="77" spans="1:17">
      <c r="A77" s="3">
        <v>74</v>
      </c>
      <c r="B77" s="3"/>
      <c r="C77" s="3"/>
      <c r="D77" s="3"/>
      <c r="E77" s="6"/>
      <c r="F77" s="6"/>
      <c r="G77" s="3" t="s">
        <v>153</v>
      </c>
      <c r="H77" s="3"/>
      <c r="I77" s="3"/>
      <c r="J77" s="3"/>
      <c r="K77" s="3"/>
      <c r="L77" s="3"/>
      <c r="M77" s="3"/>
      <c r="N77" s="3" t="s">
        <v>153</v>
      </c>
      <c r="O77" s="3"/>
      <c r="P77" s="3"/>
      <c r="Q77" s="3"/>
    </row>
    <row r="78" spans="1:17">
      <c r="A78" s="3">
        <v>75</v>
      </c>
      <c r="B78" s="3"/>
      <c r="C78" s="3"/>
      <c r="D78" s="3"/>
      <c r="E78" s="6"/>
      <c r="F78" s="6"/>
      <c r="G78" s="3" t="s">
        <v>153</v>
      </c>
      <c r="H78" s="3"/>
      <c r="I78" s="3"/>
      <c r="J78" s="3"/>
      <c r="K78" s="3"/>
      <c r="L78" s="3"/>
      <c r="M78" s="3"/>
      <c r="N78" s="3" t="s">
        <v>153</v>
      </c>
      <c r="O78" s="3"/>
      <c r="P78" s="3"/>
      <c r="Q78" s="3"/>
    </row>
    <row r="79" spans="1:17">
      <c r="A79" s="3">
        <v>76</v>
      </c>
      <c r="B79" s="3"/>
      <c r="C79" s="3"/>
      <c r="D79" s="3"/>
      <c r="E79" s="6"/>
      <c r="F79" s="6"/>
      <c r="G79" s="3" t="s">
        <v>153</v>
      </c>
      <c r="H79" s="3"/>
      <c r="I79" s="3"/>
      <c r="J79" s="3"/>
      <c r="K79" s="3"/>
      <c r="L79" s="3"/>
      <c r="M79" s="3"/>
      <c r="N79" s="3" t="s">
        <v>153</v>
      </c>
      <c r="O79" s="3"/>
      <c r="P79" s="3"/>
      <c r="Q79" s="3"/>
    </row>
    <row r="80" spans="1:17">
      <c r="A80" s="3">
        <v>77</v>
      </c>
      <c r="B80" s="3"/>
      <c r="C80" s="3"/>
      <c r="D80" s="3"/>
      <c r="E80" s="6"/>
      <c r="F80" s="6"/>
      <c r="G80" s="3" t="s">
        <v>153</v>
      </c>
      <c r="H80" s="3"/>
      <c r="I80" s="3"/>
      <c r="J80" s="3"/>
      <c r="K80" s="3"/>
      <c r="L80" s="3"/>
      <c r="M80" s="3"/>
      <c r="N80" s="3" t="s">
        <v>153</v>
      </c>
      <c r="O80" s="3"/>
      <c r="P80" s="3"/>
      <c r="Q80" s="3"/>
    </row>
    <row r="81" spans="1:17">
      <c r="A81" s="3">
        <v>78</v>
      </c>
      <c r="B81" s="3"/>
      <c r="C81" s="3"/>
      <c r="D81" s="3"/>
      <c r="E81" s="6"/>
      <c r="F81" s="6"/>
      <c r="G81" s="3" t="s">
        <v>153</v>
      </c>
      <c r="H81" s="3"/>
      <c r="I81" s="3"/>
      <c r="J81" s="3"/>
      <c r="K81" s="3"/>
      <c r="L81" s="3"/>
      <c r="M81" s="3"/>
      <c r="N81" s="3" t="s">
        <v>153</v>
      </c>
      <c r="O81" s="3"/>
      <c r="P81" s="3"/>
      <c r="Q81" s="3"/>
    </row>
    <row r="82" spans="1:17">
      <c r="A82" s="3">
        <v>79</v>
      </c>
      <c r="B82" s="3"/>
      <c r="C82" s="3"/>
      <c r="D82" s="3"/>
      <c r="E82" s="6"/>
      <c r="F82" s="6"/>
      <c r="G82" s="3" t="s">
        <v>153</v>
      </c>
      <c r="H82" s="3"/>
      <c r="I82" s="3"/>
      <c r="J82" s="3"/>
      <c r="K82" s="3"/>
      <c r="L82" s="3"/>
      <c r="M82" s="3"/>
      <c r="N82" s="3" t="s">
        <v>153</v>
      </c>
      <c r="O82" s="3"/>
      <c r="P82" s="3"/>
      <c r="Q82" s="3"/>
    </row>
    <row r="83" spans="1:17">
      <c r="A83" s="3">
        <v>80</v>
      </c>
      <c r="B83" s="3"/>
      <c r="C83" s="3"/>
      <c r="D83" s="3"/>
      <c r="E83" s="6"/>
      <c r="F83" s="6"/>
      <c r="G83" s="3" t="s">
        <v>153</v>
      </c>
      <c r="H83" s="3"/>
      <c r="I83" s="3"/>
      <c r="J83" s="3"/>
      <c r="K83" s="3"/>
      <c r="L83" s="3"/>
      <c r="M83" s="3"/>
      <c r="N83" s="3" t="s">
        <v>153</v>
      </c>
      <c r="O83" s="3"/>
      <c r="P83" s="3"/>
      <c r="Q83" s="3"/>
    </row>
    <row r="84" spans="1:17">
      <c r="A84" s="3">
        <v>81</v>
      </c>
      <c r="B84" s="3"/>
      <c r="C84" s="3"/>
      <c r="D84" s="3"/>
      <c r="E84" s="6"/>
      <c r="F84" s="6"/>
      <c r="G84" s="3" t="s">
        <v>153</v>
      </c>
      <c r="H84" s="3"/>
      <c r="I84" s="3"/>
      <c r="J84" s="3"/>
      <c r="K84" s="3"/>
      <c r="L84" s="3"/>
      <c r="M84" s="3"/>
      <c r="N84" s="3" t="s">
        <v>153</v>
      </c>
      <c r="O84" s="3"/>
      <c r="P84" s="3"/>
      <c r="Q84" s="3"/>
    </row>
    <row r="85" spans="1:17">
      <c r="A85" s="3">
        <v>82</v>
      </c>
      <c r="B85" s="3"/>
      <c r="C85" s="3"/>
      <c r="D85" s="3"/>
      <c r="E85" s="6"/>
      <c r="F85" s="6"/>
      <c r="G85" s="3" t="s">
        <v>153</v>
      </c>
      <c r="H85" s="3"/>
      <c r="I85" s="3"/>
      <c r="J85" s="3"/>
      <c r="K85" s="3"/>
      <c r="L85" s="3"/>
      <c r="M85" s="3"/>
      <c r="N85" s="3" t="s">
        <v>153</v>
      </c>
      <c r="O85" s="3"/>
      <c r="P85" s="3"/>
      <c r="Q85" s="3"/>
    </row>
    <row r="86" spans="1:17">
      <c r="A86" s="3">
        <v>83</v>
      </c>
      <c r="B86" s="3"/>
      <c r="C86" s="3"/>
      <c r="D86" s="3"/>
      <c r="E86" s="6"/>
      <c r="F86" s="6"/>
      <c r="G86" s="3" t="s">
        <v>153</v>
      </c>
      <c r="H86" s="3"/>
      <c r="I86" s="3"/>
      <c r="J86" s="3"/>
      <c r="K86" s="3"/>
      <c r="L86" s="3"/>
      <c r="M86" s="3"/>
      <c r="N86" s="3" t="s">
        <v>153</v>
      </c>
      <c r="O86" s="3"/>
      <c r="P86" s="3"/>
      <c r="Q86" s="3"/>
    </row>
    <row r="87" spans="1:17">
      <c r="A87" s="3">
        <v>84</v>
      </c>
      <c r="B87" s="3"/>
      <c r="C87" s="3"/>
      <c r="D87" s="3"/>
      <c r="E87" s="6"/>
      <c r="F87" s="6"/>
      <c r="G87" s="3" t="s">
        <v>153</v>
      </c>
      <c r="H87" s="3"/>
      <c r="I87" s="3"/>
      <c r="J87" s="3"/>
      <c r="K87" s="3"/>
      <c r="L87" s="3"/>
      <c r="M87" s="3"/>
      <c r="N87" s="3" t="s">
        <v>153</v>
      </c>
      <c r="O87" s="3"/>
      <c r="P87" s="3"/>
      <c r="Q87" s="3"/>
    </row>
    <row r="88" spans="1:17">
      <c r="A88" s="3">
        <v>85</v>
      </c>
      <c r="B88" s="3"/>
      <c r="C88" s="3"/>
      <c r="D88" s="3"/>
      <c r="E88" s="6"/>
      <c r="F88" s="6"/>
      <c r="G88" s="3" t="s">
        <v>153</v>
      </c>
      <c r="H88" s="3"/>
      <c r="I88" s="3"/>
      <c r="J88" s="3"/>
      <c r="K88" s="3"/>
      <c r="L88" s="3"/>
      <c r="M88" s="3"/>
      <c r="N88" s="3" t="s">
        <v>153</v>
      </c>
      <c r="O88" s="3"/>
      <c r="P88" s="3"/>
      <c r="Q88" s="3"/>
    </row>
    <row r="89" spans="1:17">
      <c r="A89" s="3">
        <v>86</v>
      </c>
      <c r="B89" s="3"/>
      <c r="C89" s="3"/>
      <c r="D89" s="3"/>
      <c r="E89" s="6"/>
      <c r="F89" s="6"/>
      <c r="G89" s="3" t="s">
        <v>153</v>
      </c>
      <c r="H89" s="3"/>
      <c r="I89" s="3"/>
      <c r="J89" s="3"/>
      <c r="K89" s="3"/>
      <c r="L89" s="3"/>
      <c r="M89" s="3"/>
      <c r="N89" s="3" t="s">
        <v>153</v>
      </c>
      <c r="O89" s="3"/>
      <c r="P89" s="3"/>
      <c r="Q89" s="3"/>
    </row>
    <row r="90" spans="1:17">
      <c r="A90" s="3">
        <v>87</v>
      </c>
      <c r="B90" s="3"/>
      <c r="C90" s="3"/>
      <c r="D90" s="3"/>
      <c r="E90" s="6"/>
      <c r="F90" s="6"/>
      <c r="G90" s="3" t="s">
        <v>153</v>
      </c>
      <c r="H90" s="3"/>
      <c r="I90" s="3"/>
      <c r="J90" s="3"/>
      <c r="K90" s="3"/>
      <c r="L90" s="3"/>
      <c r="M90" s="3"/>
      <c r="N90" s="3" t="s">
        <v>153</v>
      </c>
      <c r="O90" s="3"/>
      <c r="P90" s="3"/>
      <c r="Q90" s="3"/>
    </row>
    <row r="91" spans="1:17">
      <c r="A91" s="3">
        <v>88</v>
      </c>
      <c r="B91" s="3"/>
      <c r="C91" s="3"/>
      <c r="D91" s="3"/>
      <c r="E91" s="6"/>
      <c r="F91" s="6"/>
      <c r="G91" s="3" t="s">
        <v>153</v>
      </c>
      <c r="H91" s="3"/>
      <c r="I91" s="3"/>
      <c r="J91" s="3"/>
      <c r="K91" s="3"/>
      <c r="L91" s="3"/>
      <c r="M91" s="3"/>
      <c r="N91" s="3" t="s">
        <v>153</v>
      </c>
      <c r="O91" s="3"/>
      <c r="P91" s="3"/>
      <c r="Q91" s="3"/>
    </row>
    <row r="92" spans="1:17">
      <c r="A92" s="3">
        <v>89</v>
      </c>
      <c r="B92" s="3"/>
      <c r="C92" s="3"/>
      <c r="D92" s="3"/>
      <c r="E92" s="6"/>
      <c r="F92" s="6"/>
      <c r="G92" s="3" t="s">
        <v>153</v>
      </c>
      <c r="H92" s="3"/>
      <c r="I92" s="3"/>
      <c r="J92" s="3"/>
      <c r="K92" s="3"/>
      <c r="L92" s="3"/>
      <c r="M92" s="3"/>
      <c r="N92" s="3" t="s">
        <v>153</v>
      </c>
      <c r="O92" s="3"/>
      <c r="P92" s="3"/>
      <c r="Q92" s="3"/>
    </row>
    <row r="93" spans="1:17">
      <c r="A93" s="3">
        <v>90</v>
      </c>
      <c r="B93" s="3"/>
      <c r="C93" s="3"/>
      <c r="D93" s="3"/>
      <c r="E93" s="6"/>
      <c r="F93" s="6"/>
      <c r="G93" s="3" t="s">
        <v>153</v>
      </c>
      <c r="H93" s="3"/>
      <c r="I93" s="3"/>
      <c r="J93" s="3"/>
      <c r="K93" s="3"/>
      <c r="L93" s="3"/>
      <c r="M93" s="3"/>
      <c r="N93" s="3" t="s">
        <v>153</v>
      </c>
      <c r="O93" s="3"/>
      <c r="P93" s="3"/>
      <c r="Q93" s="3"/>
    </row>
    <row r="94" spans="1:17">
      <c r="A94" s="3">
        <v>91</v>
      </c>
      <c r="B94" s="3"/>
      <c r="C94" s="3"/>
      <c r="D94" s="3"/>
      <c r="E94" s="6"/>
      <c r="F94" s="6"/>
      <c r="G94" s="3" t="s">
        <v>153</v>
      </c>
      <c r="H94" s="3"/>
      <c r="I94" s="3"/>
      <c r="J94" s="3"/>
      <c r="K94" s="3"/>
      <c r="L94" s="3"/>
      <c r="M94" s="3"/>
      <c r="N94" s="3" t="s">
        <v>153</v>
      </c>
      <c r="O94" s="3"/>
      <c r="P94" s="3"/>
      <c r="Q94" s="3"/>
    </row>
    <row r="95" spans="1:17">
      <c r="A95" s="3">
        <v>92</v>
      </c>
      <c r="B95" s="3"/>
      <c r="C95" s="3"/>
      <c r="D95" s="3"/>
      <c r="E95" s="6"/>
      <c r="F95" s="6"/>
      <c r="G95" s="3" t="s">
        <v>153</v>
      </c>
      <c r="H95" s="3"/>
      <c r="I95" s="3"/>
      <c r="J95" s="3"/>
      <c r="K95" s="3"/>
      <c r="L95" s="3"/>
      <c r="M95" s="3"/>
      <c r="N95" s="3" t="s">
        <v>153</v>
      </c>
      <c r="O95" s="3"/>
      <c r="P95" s="3"/>
      <c r="Q95" s="3"/>
    </row>
    <row r="96" spans="1:17">
      <c r="A96" s="3">
        <v>93</v>
      </c>
      <c r="B96" s="3"/>
      <c r="C96" s="3"/>
      <c r="D96" s="3"/>
      <c r="E96" s="6"/>
      <c r="F96" s="6"/>
      <c r="G96" s="3" t="s">
        <v>153</v>
      </c>
      <c r="H96" s="3"/>
      <c r="I96" s="3"/>
      <c r="J96" s="3"/>
      <c r="K96" s="3"/>
      <c r="L96" s="3"/>
      <c r="M96" s="3"/>
      <c r="N96" s="3" t="s">
        <v>153</v>
      </c>
      <c r="O96" s="3"/>
      <c r="P96" s="3"/>
      <c r="Q96" s="3"/>
    </row>
    <row r="97" spans="1:17">
      <c r="A97" s="3">
        <v>94</v>
      </c>
      <c r="B97" s="3"/>
      <c r="C97" s="3"/>
      <c r="D97" s="3"/>
      <c r="E97" s="6"/>
      <c r="F97" s="6"/>
      <c r="G97" s="3" t="s">
        <v>153</v>
      </c>
      <c r="H97" s="3"/>
      <c r="I97" s="3"/>
      <c r="J97" s="3"/>
      <c r="K97" s="3"/>
      <c r="L97" s="3"/>
      <c r="M97" s="3"/>
      <c r="N97" s="3" t="s">
        <v>153</v>
      </c>
      <c r="O97" s="3"/>
      <c r="P97" s="3"/>
      <c r="Q97" s="3"/>
    </row>
    <row r="98" spans="1:17">
      <c r="A98" s="3">
        <v>95</v>
      </c>
      <c r="B98" s="3"/>
      <c r="C98" s="3"/>
      <c r="D98" s="3"/>
      <c r="E98" s="6"/>
      <c r="F98" s="6"/>
      <c r="G98" s="3" t="s">
        <v>153</v>
      </c>
      <c r="H98" s="3"/>
      <c r="I98" s="3"/>
      <c r="J98" s="3"/>
      <c r="K98" s="3"/>
      <c r="L98" s="3"/>
      <c r="M98" s="3"/>
      <c r="N98" s="3" t="s">
        <v>153</v>
      </c>
      <c r="O98" s="3"/>
      <c r="P98" s="3"/>
      <c r="Q98" s="3"/>
    </row>
    <row r="99" spans="1:17">
      <c r="A99" s="3">
        <v>96</v>
      </c>
      <c r="B99" s="3"/>
      <c r="C99" s="3"/>
      <c r="D99" s="3"/>
      <c r="E99" s="6"/>
      <c r="F99" s="6"/>
      <c r="G99" s="3" t="s">
        <v>153</v>
      </c>
      <c r="H99" s="3"/>
      <c r="I99" s="3"/>
      <c r="J99" s="3"/>
      <c r="K99" s="3"/>
      <c r="L99" s="3"/>
      <c r="M99" s="3"/>
      <c r="N99" s="3" t="s">
        <v>153</v>
      </c>
      <c r="O99" s="3"/>
      <c r="P99" s="3"/>
      <c r="Q99" s="3"/>
    </row>
    <row r="100" spans="1:17">
      <c r="A100" s="3">
        <v>97</v>
      </c>
      <c r="B100" s="3"/>
      <c r="C100" s="3"/>
      <c r="D100" s="3"/>
      <c r="E100" s="6"/>
      <c r="F100" s="6"/>
      <c r="G100" s="3" t="s">
        <v>153</v>
      </c>
      <c r="H100" s="3"/>
      <c r="I100" s="3"/>
      <c r="J100" s="3"/>
      <c r="K100" s="3"/>
      <c r="L100" s="3"/>
      <c r="M100" s="3"/>
      <c r="N100" s="3" t="s">
        <v>153</v>
      </c>
      <c r="O100" s="3"/>
      <c r="P100" s="3"/>
      <c r="Q100" s="3"/>
    </row>
    <row r="101" spans="1:17">
      <c r="A101" s="3">
        <v>98</v>
      </c>
      <c r="B101" s="3"/>
      <c r="C101" s="3"/>
      <c r="D101" s="3"/>
      <c r="E101" s="6"/>
      <c r="F101" s="6"/>
      <c r="G101" s="3" t="s">
        <v>153</v>
      </c>
      <c r="H101" s="3"/>
      <c r="I101" s="3"/>
      <c r="J101" s="3"/>
      <c r="K101" s="3"/>
      <c r="L101" s="3"/>
      <c r="M101" s="3"/>
      <c r="N101" s="3" t="s">
        <v>153</v>
      </c>
      <c r="O101" s="3"/>
      <c r="P101" s="3"/>
      <c r="Q101" s="3"/>
    </row>
    <row r="102" spans="1:17">
      <c r="A102" s="3">
        <v>99</v>
      </c>
      <c r="B102" s="3"/>
      <c r="C102" s="3"/>
      <c r="D102" s="3"/>
      <c r="E102" s="6"/>
      <c r="F102" s="6"/>
      <c r="G102" s="3" t="s">
        <v>153</v>
      </c>
      <c r="H102" s="3"/>
      <c r="I102" s="3"/>
      <c r="J102" s="3"/>
      <c r="K102" s="3"/>
      <c r="L102" s="3"/>
      <c r="M102" s="3"/>
      <c r="N102" s="3" t="s">
        <v>153</v>
      </c>
      <c r="O102" s="3"/>
      <c r="P102" s="3"/>
      <c r="Q102" s="3"/>
    </row>
    <row r="103" spans="1:17">
      <c r="A103" s="3">
        <v>100</v>
      </c>
      <c r="B103" s="3"/>
      <c r="C103" s="3"/>
      <c r="D103" s="3"/>
      <c r="E103" s="6"/>
      <c r="F103" s="6"/>
      <c r="G103" s="3" t="s">
        <v>153</v>
      </c>
      <c r="H103" s="3"/>
      <c r="I103" s="3"/>
      <c r="J103" s="3"/>
      <c r="K103" s="3"/>
      <c r="L103" s="3"/>
      <c r="M103" s="3"/>
      <c r="N103" s="3" t="s">
        <v>153</v>
      </c>
      <c r="O103" s="3"/>
      <c r="P103" s="3"/>
      <c r="Q103" s="3"/>
    </row>
  </sheetData>
  <mergeCells count="1">
    <mergeCell ref="A1:M1"/>
  </mergeCells>
  <dataValidations count="2">
    <dataValidation type="list" sqref="G4:G103" xr:uid="{00000000-0002-0000-0100-000000000000}">
      <formula1>"Pending,In Progress,Completed,Needs Update"</formula1>
    </dataValidation>
    <dataValidation type="list" sqref="N4:N103" xr:uid="{00000000-0002-0000-0100-000001000000}">
      <formula1>"Pending,Current,New Results Available,Research Needs Update"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3"/>
  <sheetViews>
    <sheetView workbookViewId="0">
      <pane ySplit="3" topLeftCell="A4" activePane="bottomLeft" state="frozen"/>
      <selection pane="bottomLeft"/>
    </sheetView>
  </sheetViews>
  <sheetFormatPr defaultRowHeight="14"/>
  <cols>
    <col min="1" max="2" width="11" customWidth="1"/>
    <col min="3" max="3" width="28" customWidth="1"/>
    <col min="4" max="4" width="18" customWidth="1"/>
    <col min="5" max="5" width="46" customWidth="1"/>
    <col min="6" max="6" width="14" customWidth="1"/>
    <col min="7" max="7" width="17" customWidth="1"/>
    <col min="8" max="8" width="13" customWidth="1"/>
    <col min="9" max="9" width="12" customWidth="1"/>
    <col min="10" max="10" width="18" customWidth="1"/>
    <col min="11" max="12" width="12" customWidth="1"/>
    <col min="13" max="13" width="13" customWidth="1"/>
    <col min="14" max="14" width="14" customWidth="1"/>
    <col min="15" max="15" width="16" customWidth="1"/>
    <col min="16" max="16" width="14" customWidth="1"/>
    <col min="17" max="17" width="36" customWidth="1"/>
    <col min="18" max="18" width="9" customWidth="1"/>
  </cols>
  <sheetData>
    <row r="1" spans="1:18" ht="30" customHeight="1">
      <c r="A1" s="31" t="s">
        <v>154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</row>
    <row r="3" spans="1:18" ht="30" customHeight="1">
      <c r="A3" s="1" t="s">
        <v>110</v>
      </c>
      <c r="B3" s="1" t="s">
        <v>111</v>
      </c>
      <c r="C3" s="1" t="s">
        <v>113</v>
      </c>
      <c r="D3" s="1" t="s">
        <v>155</v>
      </c>
      <c r="E3" s="1" t="s">
        <v>156</v>
      </c>
      <c r="F3" s="1" t="s">
        <v>157</v>
      </c>
      <c r="G3" s="1" t="s">
        <v>158</v>
      </c>
      <c r="H3" s="1" t="s">
        <v>159</v>
      </c>
      <c r="I3" s="1" t="s">
        <v>160</v>
      </c>
      <c r="J3" s="1" t="s">
        <v>161</v>
      </c>
      <c r="K3" s="1" t="s">
        <v>162</v>
      </c>
      <c r="L3" s="1" t="s">
        <v>163</v>
      </c>
      <c r="M3" s="1" t="s">
        <v>164</v>
      </c>
      <c r="N3" s="1" t="s">
        <v>165</v>
      </c>
      <c r="O3" s="1" t="s">
        <v>166</v>
      </c>
      <c r="P3" s="1" t="s">
        <v>36</v>
      </c>
      <c r="Q3" s="1" t="s">
        <v>167</v>
      </c>
      <c r="R3" s="1" t="s">
        <v>116</v>
      </c>
    </row>
    <row r="4" spans="1:18" ht="28">
      <c r="A4" s="4">
        <v>1</v>
      </c>
      <c r="B4" s="4" t="s">
        <v>125</v>
      </c>
      <c r="C4" s="4" t="s">
        <v>127</v>
      </c>
      <c r="D4" s="4" t="s">
        <v>168</v>
      </c>
      <c r="E4" s="4" t="s">
        <v>169</v>
      </c>
      <c r="F4" s="7">
        <v>9.5</v>
      </c>
      <c r="G4" s="7">
        <v>9</v>
      </c>
      <c r="H4" s="7">
        <v>8.5</v>
      </c>
      <c r="I4" s="7">
        <v>9.5</v>
      </c>
      <c r="J4" s="7">
        <v>9.5</v>
      </c>
      <c r="K4" s="7">
        <v>2</v>
      </c>
      <c r="L4" s="7">
        <v>9</v>
      </c>
      <c r="M4" s="7">
        <v>5.5</v>
      </c>
      <c r="N4" s="8">
        <f>AVERAGE(F4:M4)</f>
        <v>7.8125</v>
      </c>
      <c r="O4" s="4" t="s">
        <v>128</v>
      </c>
      <c r="P4" s="4" t="s">
        <v>37</v>
      </c>
      <c r="Q4" s="4" t="s">
        <v>170</v>
      </c>
      <c r="R4" s="4">
        <v>1</v>
      </c>
    </row>
    <row r="5" spans="1:18">
      <c r="A5" s="4">
        <v>2</v>
      </c>
      <c r="B5" s="4" t="s">
        <v>133</v>
      </c>
      <c r="C5" s="4" t="s">
        <v>135</v>
      </c>
      <c r="D5" s="4" t="s">
        <v>171</v>
      </c>
      <c r="E5" s="4" t="s">
        <v>172</v>
      </c>
      <c r="F5" s="7">
        <v>8</v>
      </c>
      <c r="G5" s="7">
        <v>9</v>
      </c>
      <c r="H5" s="7">
        <v>7</v>
      </c>
      <c r="I5" s="7">
        <v>5.5</v>
      </c>
      <c r="J5" s="7">
        <v>9</v>
      </c>
      <c r="K5" s="7">
        <v>8.5</v>
      </c>
      <c r="L5" s="7">
        <v>7</v>
      </c>
      <c r="M5" s="7">
        <v>7</v>
      </c>
      <c r="N5" s="8">
        <f>AVERAGE(F5:M5)</f>
        <v>7.625</v>
      </c>
      <c r="O5" s="4" t="s">
        <v>128</v>
      </c>
      <c r="P5" s="4" t="s">
        <v>37</v>
      </c>
      <c r="Q5" s="4" t="s">
        <v>173</v>
      </c>
      <c r="R5" s="4">
        <v>1</v>
      </c>
    </row>
    <row r="6" spans="1:18" ht="28">
      <c r="A6" s="4">
        <v>3</v>
      </c>
      <c r="B6" s="4" t="s">
        <v>138</v>
      </c>
      <c r="C6" s="4" t="s">
        <v>140</v>
      </c>
      <c r="D6" s="4" t="s">
        <v>174</v>
      </c>
      <c r="E6" s="4" t="s">
        <v>175</v>
      </c>
      <c r="F6" s="7">
        <v>9.5</v>
      </c>
      <c r="G6" s="7">
        <v>9.5</v>
      </c>
      <c r="H6" s="7">
        <v>9</v>
      </c>
      <c r="I6" s="7">
        <v>8</v>
      </c>
      <c r="J6" s="7">
        <v>9</v>
      </c>
      <c r="K6" s="7">
        <v>6.5</v>
      </c>
      <c r="L6" s="7">
        <v>8</v>
      </c>
      <c r="M6" s="7">
        <v>8</v>
      </c>
      <c r="N6" s="8">
        <f>AVERAGE(F6:M6)</f>
        <v>8.4375</v>
      </c>
      <c r="O6" s="4" t="s">
        <v>128</v>
      </c>
      <c r="P6" s="4" t="s">
        <v>37</v>
      </c>
      <c r="Q6" s="4" t="s">
        <v>176</v>
      </c>
      <c r="R6" s="4">
        <v>1</v>
      </c>
    </row>
    <row r="7" spans="1:18" ht="28">
      <c r="A7" s="4">
        <v>4</v>
      </c>
      <c r="B7" s="4" t="s">
        <v>143</v>
      </c>
      <c r="C7" s="4" t="s">
        <v>135</v>
      </c>
      <c r="D7" s="4" t="s">
        <v>174</v>
      </c>
      <c r="E7" s="4" t="s">
        <v>177</v>
      </c>
      <c r="F7" s="7">
        <v>9</v>
      </c>
      <c r="G7" s="7">
        <v>8.5</v>
      </c>
      <c r="H7" s="7">
        <v>9</v>
      </c>
      <c r="I7" s="7">
        <v>9</v>
      </c>
      <c r="J7" s="7">
        <v>7</v>
      </c>
      <c r="K7" s="7">
        <v>6.5</v>
      </c>
      <c r="L7" s="7">
        <v>9</v>
      </c>
      <c r="M7" s="7">
        <v>6.5</v>
      </c>
      <c r="N7" s="8">
        <f>AVERAGE(F7:M7)</f>
        <v>8.0625</v>
      </c>
      <c r="O7" s="4" t="s">
        <v>128</v>
      </c>
      <c r="P7" s="4" t="s">
        <v>37</v>
      </c>
      <c r="Q7" s="4" t="s">
        <v>178</v>
      </c>
      <c r="R7" s="4">
        <v>1</v>
      </c>
    </row>
    <row r="8" spans="1:18" ht="28">
      <c r="A8" s="4">
        <v>5</v>
      </c>
      <c r="B8" s="4" t="s">
        <v>147</v>
      </c>
      <c r="C8" s="4" t="s">
        <v>149</v>
      </c>
      <c r="D8" s="4" t="s">
        <v>179</v>
      </c>
      <c r="E8" s="4" t="s">
        <v>180</v>
      </c>
      <c r="F8" s="7">
        <v>9.5</v>
      </c>
      <c r="G8" s="7">
        <v>10</v>
      </c>
      <c r="H8" s="7">
        <v>7.5</v>
      </c>
      <c r="I8" s="7">
        <v>7.5</v>
      </c>
      <c r="J8" s="7">
        <v>8.5</v>
      </c>
      <c r="K8" s="7">
        <v>4.5</v>
      </c>
      <c r="L8" s="7">
        <v>7.5</v>
      </c>
      <c r="M8" s="7">
        <v>7.5</v>
      </c>
      <c r="N8" s="8">
        <f>AVERAGE(F8:M8)</f>
        <v>7.8125</v>
      </c>
      <c r="O8" s="4" t="s">
        <v>128</v>
      </c>
      <c r="P8" s="4" t="s">
        <v>37</v>
      </c>
      <c r="Q8" s="4" t="s">
        <v>181</v>
      </c>
      <c r="R8" s="4">
        <v>1</v>
      </c>
    </row>
    <row r="9" spans="1:18">
      <c r="A9" s="3"/>
      <c r="B9" s="3"/>
      <c r="C9" s="3"/>
      <c r="D9" s="3"/>
      <c r="E9" s="3"/>
      <c r="F9" s="9"/>
      <c r="G9" s="9"/>
      <c r="H9" s="9"/>
      <c r="I9" s="9"/>
      <c r="J9" s="9"/>
      <c r="K9" s="9"/>
      <c r="L9" s="9"/>
      <c r="M9" s="9"/>
      <c r="N9" s="9"/>
      <c r="O9" s="3"/>
      <c r="P9" s="3"/>
      <c r="Q9" s="3"/>
      <c r="R9" s="3"/>
    </row>
    <row r="10" spans="1:18">
      <c r="A10" s="3"/>
      <c r="B10" s="3"/>
      <c r="C10" s="3"/>
      <c r="D10" s="3"/>
      <c r="E10" s="3"/>
      <c r="F10" s="9"/>
      <c r="G10" s="9"/>
      <c r="H10" s="9"/>
      <c r="I10" s="9"/>
      <c r="J10" s="9"/>
      <c r="K10" s="9"/>
      <c r="L10" s="9"/>
      <c r="M10" s="9"/>
      <c r="N10" s="9"/>
      <c r="O10" s="3"/>
      <c r="P10" s="3"/>
      <c r="Q10" s="3"/>
      <c r="R10" s="3"/>
    </row>
    <row r="11" spans="1:18">
      <c r="A11" s="3"/>
      <c r="B11" s="3"/>
      <c r="C11" s="3"/>
      <c r="D11" s="3"/>
      <c r="E11" s="3"/>
      <c r="F11" s="9"/>
      <c r="G11" s="9"/>
      <c r="H11" s="9"/>
      <c r="I11" s="9"/>
      <c r="J11" s="9"/>
      <c r="K11" s="9"/>
      <c r="L11" s="9"/>
      <c r="M11" s="9"/>
      <c r="N11" s="9"/>
      <c r="O11" s="3"/>
      <c r="P11" s="3"/>
      <c r="Q11" s="3"/>
      <c r="R11" s="3"/>
    </row>
    <row r="12" spans="1:18">
      <c r="A12" s="3"/>
      <c r="B12" s="3"/>
      <c r="C12" s="3"/>
      <c r="D12" s="3"/>
      <c r="E12" s="3"/>
      <c r="F12" s="9"/>
      <c r="G12" s="9"/>
      <c r="H12" s="9"/>
      <c r="I12" s="9"/>
      <c r="J12" s="9"/>
      <c r="K12" s="9"/>
      <c r="L12" s="9"/>
      <c r="M12" s="9"/>
      <c r="N12" s="9"/>
      <c r="O12" s="3"/>
      <c r="P12" s="3"/>
      <c r="Q12" s="3"/>
      <c r="R12" s="3"/>
    </row>
    <row r="13" spans="1:18">
      <c r="A13" s="3"/>
      <c r="B13" s="3"/>
      <c r="C13" s="3"/>
      <c r="D13" s="3"/>
      <c r="E13" s="3"/>
      <c r="F13" s="9"/>
      <c r="G13" s="9"/>
      <c r="H13" s="9"/>
      <c r="I13" s="9"/>
      <c r="J13" s="9"/>
      <c r="K13" s="9"/>
      <c r="L13" s="9"/>
      <c r="M13" s="9"/>
      <c r="N13" s="9"/>
      <c r="O13" s="3"/>
      <c r="P13" s="3"/>
      <c r="Q13" s="3"/>
      <c r="R13" s="3"/>
    </row>
    <row r="14" spans="1:18">
      <c r="A14" s="3"/>
      <c r="B14" s="3"/>
      <c r="C14" s="3"/>
      <c r="D14" s="3"/>
      <c r="E14" s="3"/>
      <c r="F14" s="9"/>
      <c r="G14" s="9"/>
      <c r="H14" s="9"/>
      <c r="I14" s="9"/>
      <c r="J14" s="9"/>
      <c r="K14" s="9"/>
      <c r="L14" s="9"/>
      <c r="M14" s="9"/>
      <c r="N14" s="9"/>
      <c r="O14" s="3"/>
      <c r="P14" s="3"/>
      <c r="Q14" s="3"/>
      <c r="R14" s="3"/>
    </row>
    <row r="15" spans="1:18">
      <c r="A15" s="3"/>
      <c r="B15" s="3"/>
      <c r="C15" s="3"/>
      <c r="D15" s="3"/>
      <c r="E15" s="3"/>
      <c r="F15" s="9"/>
      <c r="G15" s="9"/>
      <c r="H15" s="9"/>
      <c r="I15" s="9"/>
      <c r="J15" s="9"/>
      <c r="K15" s="9"/>
      <c r="L15" s="9"/>
      <c r="M15" s="9"/>
      <c r="N15" s="9"/>
      <c r="O15" s="3"/>
      <c r="P15" s="3"/>
      <c r="Q15" s="3"/>
      <c r="R15" s="3"/>
    </row>
    <row r="16" spans="1:18">
      <c r="A16" s="3"/>
      <c r="B16" s="3"/>
      <c r="C16" s="3"/>
      <c r="D16" s="3"/>
      <c r="E16" s="3"/>
      <c r="F16" s="9"/>
      <c r="G16" s="9"/>
      <c r="H16" s="9"/>
      <c r="I16" s="9"/>
      <c r="J16" s="9"/>
      <c r="K16" s="9"/>
      <c r="L16" s="9"/>
      <c r="M16" s="9"/>
      <c r="N16" s="9"/>
      <c r="O16" s="3"/>
      <c r="P16" s="3"/>
      <c r="Q16" s="3"/>
      <c r="R16" s="3"/>
    </row>
    <row r="17" spans="1:18">
      <c r="A17" s="3"/>
      <c r="B17" s="3"/>
      <c r="C17" s="3"/>
      <c r="D17" s="3"/>
      <c r="E17" s="3"/>
      <c r="F17" s="9"/>
      <c r="G17" s="9"/>
      <c r="H17" s="9"/>
      <c r="I17" s="9"/>
      <c r="J17" s="9"/>
      <c r="K17" s="9"/>
      <c r="L17" s="9"/>
      <c r="M17" s="9"/>
      <c r="N17" s="9"/>
      <c r="O17" s="3"/>
      <c r="P17" s="3"/>
      <c r="Q17" s="3"/>
      <c r="R17" s="3"/>
    </row>
    <row r="18" spans="1:18">
      <c r="A18" s="3"/>
      <c r="B18" s="3"/>
      <c r="C18" s="3"/>
      <c r="D18" s="3"/>
      <c r="E18" s="3"/>
      <c r="F18" s="9"/>
      <c r="G18" s="9"/>
      <c r="H18" s="9"/>
      <c r="I18" s="9"/>
      <c r="J18" s="9"/>
      <c r="K18" s="9"/>
      <c r="L18" s="9"/>
      <c r="M18" s="9"/>
      <c r="N18" s="9"/>
      <c r="O18" s="3"/>
      <c r="P18" s="3"/>
      <c r="Q18" s="3"/>
      <c r="R18" s="3"/>
    </row>
    <row r="19" spans="1:18">
      <c r="A19" s="3"/>
      <c r="B19" s="3"/>
      <c r="C19" s="3"/>
      <c r="D19" s="3"/>
      <c r="E19" s="3"/>
      <c r="F19" s="9"/>
      <c r="G19" s="9"/>
      <c r="H19" s="9"/>
      <c r="I19" s="9"/>
      <c r="J19" s="9"/>
      <c r="K19" s="9"/>
      <c r="L19" s="9"/>
      <c r="M19" s="9"/>
      <c r="N19" s="9"/>
      <c r="O19" s="3"/>
      <c r="P19" s="3"/>
      <c r="Q19" s="3"/>
      <c r="R19" s="3"/>
    </row>
    <row r="20" spans="1:18">
      <c r="A20" s="3"/>
      <c r="B20" s="3"/>
      <c r="C20" s="3"/>
      <c r="D20" s="3"/>
      <c r="E20" s="3"/>
      <c r="F20" s="9"/>
      <c r="G20" s="9"/>
      <c r="H20" s="9"/>
      <c r="I20" s="9"/>
      <c r="J20" s="9"/>
      <c r="K20" s="9"/>
      <c r="L20" s="9"/>
      <c r="M20" s="9"/>
      <c r="N20" s="9"/>
      <c r="O20" s="3"/>
      <c r="P20" s="3"/>
      <c r="Q20" s="3"/>
      <c r="R20" s="3"/>
    </row>
    <row r="21" spans="1:18">
      <c r="A21" s="3"/>
      <c r="B21" s="3"/>
      <c r="C21" s="3"/>
      <c r="D21" s="3"/>
      <c r="E21" s="3"/>
      <c r="F21" s="9"/>
      <c r="G21" s="9"/>
      <c r="H21" s="9"/>
      <c r="I21" s="9"/>
      <c r="J21" s="9"/>
      <c r="K21" s="9"/>
      <c r="L21" s="9"/>
      <c r="M21" s="9"/>
      <c r="N21" s="9"/>
      <c r="O21" s="3"/>
      <c r="P21" s="3"/>
      <c r="Q21" s="3"/>
      <c r="R21" s="3"/>
    </row>
    <row r="22" spans="1:18">
      <c r="A22" s="3"/>
      <c r="B22" s="3"/>
      <c r="C22" s="3"/>
      <c r="D22" s="3"/>
      <c r="E22" s="3"/>
      <c r="F22" s="9"/>
      <c r="G22" s="9"/>
      <c r="H22" s="9"/>
      <c r="I22" s="9"/>
      <c r="J22" s="9"/>
      <c r="K22" s="9"/>
      <c r="L22" s="9"/>
      <c r="M22" s="9"/>
      <c r="N22" s="9"/>
      <c r="O22" s="3"/>
      <c r="P22" s="3"/>
      <c r="Q22" s="3"/>
      <c r="R22" s="3"/>
    </row>
    <row r="23" spans="1:18">
      <c r="A23" s="3"/>
      <c r="B23" s="3"/>
      <c r="C23" s="3"/>
      <c r="D23" s="3"/>
      <c r="E23" s="3"/>
      <c r="F23" s="9"/>
      <c r="G23" s="9"/>
      <c r="H23" s="9"/>
      <c r="I23" s="9"/>
      <c r="J23" s="9"/>
      <c r="K23" s="9"/>
      <c r="L23" s="9"/>
      <c r="M23" s="9"/>
      <c r="N23" s="9"/>
      <c r="O23" s="3"/>
      <c r="P23" s="3"/>
      <c r="Q23" s="3"/>
      <c r="R23" s="3"/>
    </row>
    <row r="24" spans="1:18">
      <c r="A24" s="3"/>
      <c r="B24" s="3"/>
      <c r="C24" s="3"/>
      <c r="D24" s="3"/>
      <c r="E24" s="3"/>
      <c r="F24" s="9"/>
      <c r="G24" s="9"/>
      <c r="H24" s="9"/>
      <c r="I24" s="9"/>
      <c r="J24" s="9"/>
      <c r="K24" s="9"/>
      <c r="L24" s="9"/>
      <c r="M24" s="9"/>
      <c r="N24" s="9"/>
      <c r="O24" s="3"/>
      <c r="P24" s="3"/>
      <c r="Q24" s="3"/>
      <c r="R24" s="3"/>
    </row>
    <row r="25" spans="1:18">
      <c r="A25" s="3"/>
      <c r="B25" s="3"/>
      <c r="C25" s="3"/>
      <c r="D25" s="3"/>
      <c r="E25" s="3"/>
      <c r="F25" s="9"/>
      <c r="G25" s="9"/>
      <c r="H25" s="9"/>
      <c r="I25" s="9"/>
      <c r="J25" s="9"/>
      <c r="K25" s="9"/>
      <c r="L25" s="9"/>
      <c r="M25" s="9"/>
      <c r="N25" s="9"/>
      <c r="O25" s="3"/>
      <c r="P25" s="3"/>
      <c r="Q25" s="3"/>
      <c r="R25" s="3"/>
    </row>
    <row r="26" spans="1:18">
      <c r="A26" s="3"/>
      <c r="B26" s="3"/>
      <c r="C26" s="3"/>
      <c r="D26" s="3"/>
      <c r="E26" s="3"/>
      <c r="F26" s="9"/>
      <c r="G26" s="9"/>
      <c r="H26" s="9"/>
      <c r="I26" s="9"/>
      <c r="J26" s="9"/>
      <c r="K26" s="9"/>
      <c r="L26" s="9"/>
      <c r="M26" s="9"/>
      <c r="N26" s="9"/>
      <c r="O26" s="3"/>
      <c r="P26" s="3"/>
      <c r="Q26" s="3"/>
      <c r="R26" s="3"/>
    </row>
    <row r="27" spans="1:18">
      <c r="A27" s="3"/>
      <c r="B27" s="3"/>
      <c r="C27" s="3"/>
      <c r="D27" s="3"/>
      <c r="E27" s="3"/>
      <c r="F27" s="9"/>
      <c r="G27" s="9"/>
      <c r="H27" s="9"/>
      <c r="I27" s="9"/>
      <c r="J27" s="9"/>
      <c r="K27" s="9"/>
      <c r="L27" s="9"/>
      <c r="M27" s="9"/>
      <c r="N27" s="9"/>
      <c r="O27" s="3"/>
      <c r="P27" s="3"/>
      <c r="Q27" s="3"/>
      <c r="R27" s="3"/>
    </row>
    <row r="28" spans="1:18">
      <c r="A28" s="3"/>
      <c r="B28" s="3"/>
      <c r="C28" s="3"/>
      <c r="D28" s="3"/>
      <c r="E28" s="3"/>
      <c r="F28" s="9"/>
      <c r="G28" s="9"/>
      <c r="H28" s="9"/>
      <c r="I28" s="9"/>
      <c r="J28" s="9"/>
      <c r="K28" s="9"/>
      <c r="L28" s="9"/>
      <c r="M28" s="9"/>
      <c r="N28" s="9"/>
      <c r="O28" s="3"/>
      <c r="P28" s="3"/>
      <c r="Q28" s="3"/>
      <c r="R28" s="3"/>
    </row>
    <row r="29" spans="1:18">
      <c r="A29" s="3"/>
      <c r="B29" s="3"/>
      <c r="C29" s="3"/>
      <c r="D29" s="3"/>
      <c r="E29" s="3"/>
      <c r="F29" s="9"/>
      <c r="G29" s="9"/>
      <c r="H29" s="9"/>
      <c r="I29" s="9"/>
      <c r="J29" s="9"/>
      <c r="K29" s="9"/>
      <c r="L29" s="9"/>
      <c r="M29" s="9"/>
      <c r="N29" s="9"/>
      <c r="O29" s="3"/>
      <c r="P29" s="3"/>
      <c r="Q29" s="3"/>
      <c r="R29" s="3"/>
    </row>
    <row r="30" spans="1:18">
      <c r="A30" s="3"/>
      <c r="B30" s="3"/>
      <c r="C30" s="3"/>
      <c r="D30" s="3"/>
      <c r="E30" s="3"/>
      <c r="F30" s="9"/>
      <c r="G30" s="9"/>
      <c r="H30" s="9"/>
      <c r="I30" s="9"/>
      <c r="J30" s="9"/>
      <c r="K30" s="9"/>
      <c r="L30" s="9"/>
      <c r="M30" s="9"/>
      <c r="N30" s="9"/>
      <c r="O30" s="3"/>
      <c r="P30" s="3"/>
      <c r="Q30" s="3"/>
      <c r="R30" s="3"/>
    </row>
    <row r="31" spans="1:18">
      <c r="A31" s="3"/>
      <c r="B31" s="3"/>
      <c r="C31" s="3"/>
      <c r="D31" s="3"/>
      <c r="E31" s="3"/>
      <c r="F31" s="9"/>
      <c r="G31" s="9"/>
      <c r="H31" s="9"/>
      <c r="I31" s="9"/>
      <c r="J31" s="9"/>
      <c r="K31" s="9"/>
      <c r="L31" s="9"/>
      <c r="M31" s="9"/>
      <c r="N31" s="9"/>
      <c r="O31" s="3"/>
      <c r="P31" s="3"/>
      <c r="Q31" s="3"/>
      <c r="R31" s="3"/>
    </row>
    <row r="32" spans="1:18">
      <c r="A32" s="3"/>
      <c r="B32" s="3"/>
      <c r="C32" s="3"/>
      <c r="D32" s="3"/>
      <c r="E32" s="3"/>
      <c r="F32" s="9"/>
      <c r="G32" s="9"/>
      <c r="H32" s="9"/>
      <c r="I32" s="9"/>
      <c r="J32" s="9"/>
      <c r="K32" s="9"/>
      <c r="L32" s="9"/>
      <c r="M32" s="9"/>
      <c r="N32" s="9"/>
      <c r="O32" s="3"/>
      <c r="P32" s="3"/>
      <c r="Q32" s="3"/>
      <c r="R32" s="3"/>
    </row>
    <row r="33" spans="1:18">
      <c r="A33" s="3"/>
      <c r="B33" s="3"/>
      <c r="C33" s="3"/>
      <c r="D33" s="3"/>
      <c r="E33" s="3"/>
      <c r="F33" s="9"/>
      <c r="G33" s="9"/>
      <c r="H33" s="9"/>
      <c r="I33" s="9"/>
      <c r="J33" s="9"/>
      <c r="K33" s="9"/>
      <c r="L33" s="9"/>
      <c r="M33" s="9"/>
      <c r="N33" s="9"/>
      <c r="O33" s="3"/>
      <c r="P33" s="3"/>
      <c r="Q33" s="3"/>
      <c r="R33" s="3"/>
    </row>
    <row r="34" spans="1:18">
      <c r="A34" s="3"/>
      <c r="B34" s="3"/>
      <c r="C34" s="3"/>
      <c r="D34" s="3"/>
      <c r="E34" s="3"/>
      <c r="F34" s="9"/>
      <c r="G34" s="9"/>
      <c r="H34" s="9"/>
      <c r="I34" s="9"/>
      <c r="J34" s="9"/>
      <c r="K34" s="9"/>
      <c r="L34" s="9"/>
      <c r="M34" s="9"/>
      <c r="N34" s="9"/>
      <c r="O34" s="3"/>
      <c r="P34" s="3"/>
      <c r="Q34" s="3"/>
      <c r="R34" s="3"/>
    </row>
    <row r="35" spans="1:18">
      <c r="A35" s="3"/>
      <c r="B35" s="3"/>
      <c r="C35" s="3"/>
      <c r="D35" s="3"/>
      <c r="E35" s="3"/>
      <c r="F35" s="9"/>
      <c r="G35" s="9"/>
      <c r="H35" s="9"/>
      <c r="I35" s="9"/>
      <c r="J35" s="9"/>
      <c r="K35" s="9"/>
      <c r="L35" s="9"/>
      <c r="M35" s="9"/>
      <c r="N35" s="9"/>
      <c r="O35" s="3"/>
      <c r="P35" s="3"/>
      <c r="Q35" s="3"/>
      <c r="R35" s="3"/>
    </row>
    <row r="36" spans="1:18">
      <c r="A36" s="3"/>
      <c r="B36" s="3"/>
      <c r="C36" s="3"/>
      <c r="D36" s="3"/>
      <c r="E36" s="3"/>
      <c r="F36" s="9"/>
      <c r="G36" s="9"/>
      <c r="H36" s="9"/>
      <c r="I36" s="9"/>
      <c r="J36" s="9"/>
      <c r="K36" s="9"/>
      <c r="L36" s="9"/>
      <c r="M36" s="9"/>
      <c r="N36" s="9"/>
      <c r="O36" s="3"/>
      <c r="P36" s="3"/>
      <c r="Q36" s="3"/>
      <c r="R36" s="3"/>
    </row>
    <row r="37" spans="1:18">
      <c r="A37" s="3"/>
      <c r="B37" s="3"/>
      <c r="C37" s="3"/>
      <c r="D37" s="3"/>
      <c r="E37" s="3"/>
      <c r="F37" s="9"/>
      <c r="G37" s="9"/>
      <c r="H37" s="9"/>
      <c r="I37" s="9"/>
      <c r="J37" s="9"/>
      <c r="K37" s="9"/>
      <c r="L37" s="9"/>
      <c r="M37" s="9"/>
      <c r="N37" s="9"/>
      <c r="O37" s="3"/>
      <c r="P37" s="3"/>
      <c r="Q37" s="3"/>
      <c r="R37" s="3"/>
    </row>
    <row r="38" spans="1:18">
      <c r="A38" s="3"/>
      <c r="B38" s="3"/>
      <c r="C38" s="3"/>
      <c r="D38" s="3"/>
      <c r="E38" s="3"/>
      <c r="F38" s="9"/>
      <c r="G38" s="9"/>
      <c r="H38" s="9"/>
      <c r="I38" s="9"/>
      <c r="J38" s="9"/>
      <c r="K38" s="9"/>
      <c r="L38" s="9"/>
      <c r="M38" s="9"/>
      <c r="N38" s="9"/>
      <c r="O38" s="3"/>
      <c r="P38" s="3"/>
      <c r="Q38" s="3"/>
      <c r="R38" s="3"/>
    </row>
    <row r="39" spans="1:18">
      <c r="A39" s="3"/>
      <c r="B39" s="3"/>
      <c r="C39" s="3"/>
      <c r="D39" s="3"/>
      <c r="E39" s="3"/>
      <c r="F39" s="9"/>
      <c r="G39" s="9"/>
      <c r="H39" s="9"/>
      <c r="I39" s="9"/>
      <c r="J39" s="9"/>
      <c r="K39" s="9"/>
      <c r="L39" s="9"/>
      <c r="M39" s="9"/>
      <c r="N39" s="9"/>
      <c r="O39" s="3"/>
      <c r="P39" s="3"/>
      <c r="Q39" s="3"/>
      <c r="R39" s="3"/>
    </row>
    <row r="40" spans="1:18">
      <c r="A40" s="3"/>
      <c r="B40" s="3"/>
      <c r="C40" s="3"/>
      <c r="D40" s="3"/>
      <c r="E40" s="3"/>
      <c r="F40" s="9"/>
      <c r="G40" s="9"/>
      <c r="H40" s="9"/>
      <c r="I40" s="9"/>
      <c r="J40" s="9"/>
      <c r="K40" s="9"/>
      <c r="L40" s="9"/>
      <c r="M40" s="9"/>
      <c r="N40" s="9"/>
      <c r="O40" s="3"/>
      <c r="P40" s="3"/>
      <c r="Q40" s="3"/>
      <c r="R40" s="3"/>
    </row>
    <row r="41" spans="1:18">
      <c r="A41" s="3"/>
      <c r="B41" s="3"/>
      <c r="C41" s="3"/>
      <c r="D41" s="3"/>
      <c r="E41" s="3"/>
      <c r="F41" s="9"/>
      <c r="G41" s="9"/>
      <c r="H41" s="9"/>
      <c r="I41" s="9"/>
      <c r="J41" s="9"/>
      <c r="K41" s="9"/>
      <c r="L41" s="9"/>
      <c r="M41" s="9"/>
      <c r="N41" s="9"/>
      <c r="O41" s="3"/>
      <c r="P41" s="3"/>
      <c r="Q41" s="3"/>
      <c r="R41" s="3"/>
    </row>
    <row r="42" spans="1:18">
      <c r="A42" s="3"/>
      <c r="B42" s="3"/>
      <c r="C42" s="3"/>
      <c r="D42" s="3"/>
      <c r="E42" s="3"/>
      <c r="F42" s="9"/>
      <c r="G42" s="9"/>
      <c r="H42" s="9"/>
      <c r="I42" s="9"/>
      <c r="J42" s="9"/>
      <c r="K42" s="9"/>
      <c r="L42" s="9"/>
      <c r="M42" s="9"/>
      <c r="N42" s="9"/>
      <c r="O42" s="3"/>
      <c r="P42" s="3"/>
      <c r="Q42" s="3"/>
      <c r="R42" s="3"/>
    </row>
    <row r="43" spans="1:18">
      <c r="A43" s="3"/>
      <c r="B43" s="3"/>
      <c r="C43" s="3"/>
      <c r="D43" s="3"/>
      <c r="E43" s="3"/>
      <c r="F43" s="9"/>
      <c r="G43" s="9"/>
      <c r="H43" s="9"/>
      <c r="I43" s="9"/>
      <c r="J43" s="9"/>
      <c r="K43" s="9"/>
      <c r="L43" s="9"/>
      <c r="M43" s="9"/>
      <c r="N43" s="9"/>
      <c r="O43" s="3"/>
      <c r="P43" s="3"/>
      <c r="Q43" s="3"/>
      <c r="R43" s="3"/>
    </row>
    <row r="44" spans="1:18">
      <c r="A44" s="3"/>
      <c r="B44" s="3"/>
      <c r="C44" s="3"/>
      <c r="D44" s="3"/>
      <c r="E44" s="3"/>
      <c r="F44" s="9"/>
      <c r="G44" s="9"/>
      <c r="H44" s="9"/>
      <c r="I44" s="9"/>
      <c r="J44" s="9"/>
      <c r="K44" s="9"/>
      <c r="L44" s="9"/>
      <c r="M44" s="9"/>
      <c r="N44" s="9"/>
      <c r="O44" s="3"/>
      <c r="P44" s="3"/>
      <c r="Q44" s="3"/>
      <c r="R44" s="3"/>
    </row>
    <row r="45" spans="1:18">
      <c r="A45" s="3"/>
      <c r="B45" s="3"/>
      <c r="C45" s="3"/>
      <c r="D45" s="3"/>
      <c r="E45" s="3"/>
      <c r="F45" s="9"/>
      <c r="G45" s="9"/>
      <c r="H45" s="9"/>
      <c r="I45" s="9"/>
      <c r="J45" s="9"/>
      <c r="K45" s="9"/>
      <c r="L45" s="9"/>
      <c r="M45" s="9"/>
      <c r="N45" s="9"/>
      <c r="O45" s="3"/>
      <c r="P45" s="3"/>
      <c r="Q45" s="3"/>
      <c r="R45" s="3"/>
    </row>
    <row r="46" spans="1:18">
      <c r="A46" s="3"/>
      <c r="B46" s="3"/>
      <c r="C46" s="3"/>
      <c r="D46" s="3"/>
      <c r="E46" s="3"/>
      <c r="F46" s="9"/>
      <c r="G46" s="9"/>
      <c r="H46" s="9"/>
      <c r="I46" s="9"/>
      <c r="J46" s="9"/>
      <c r="K46" s="9"/>
      <c r="L46" s="9"/>
      <c r="M46" s="9"/>
      <c r="N46" s="9"/>
      <c r="O46" s="3"/>
      <c r="P46" s="3"/>
      <c r="Q46" s="3"/>
      <c r="R46" s="3"/>
    </row>
    <row r="47" spans="1:18">
      <c r="A47" s="3"/>
      <c r="B47" s="3"/>
      <c r="C47" s="3"/>
      <c r="D47" s="3"/>
      <c r="E47" s="3"/>
      <c r="F47" s="9"/>
      <c r="G47" s="9"/>
      <c r="H47" s="9"/>
      <c r="I47" s="9"/>
      <c r="J47" s="9"/>
      <c r="K47" s="9"/>
      <c r="L47" s="9"/>
      <c r="M47" s="9"/>
      <c r="N47" s="9"/>
      <c r="O47" s="3"/>
      <c r="P47" s="3"/>
      <c r="Q47" s="3"/>
      <c r="R47" s="3"/>
    </row>
    <row r="48" spans="1:18">
      <c r="A48" s="3"/>
      <c r="B48" s="3"/>
      <c r="C48" s="3"/>
      <c r="D48" s="3"/>
      <c r="E48" s="3"/>
      <c r="F48" s="9"/>
      <c r="G48" s="9"/>
      <c r="H48" s="9"/>
      <c r="I48" s="9"/>
      <c r="J48" s="9"/>
      <c r="K48" s="9"/>
      <c r="L48" s="9"/>
      <c r="M48" s="9"/>
      <c r="N48" s="9"/>
      <c r="O48" s="3"/>
      <c r="P48" s="3"/>
      <c r="Q48" s="3"/>
      <c r="R48" s="3"/>
    </row>
    <row r="49" spans="1:18">
      <c r="A49" s="3"/>
      <c r="B49" s="3"/>
      <c r="C49" s="3"/>
      <c r="D49" s="3"/>
      <c r="E49" s="3"/>
      <c r="F49" s="9"/>
      <c r="G49" s="9"/>
      <c r="H49" s="9"/>
      <c r="I49" s="9"/>
      <c r="J49" s="9"/>
      <c r="K49" s="9"/>
      <c r="L49" s="9"/>
      <c r="M49" s="9"/>
      <c r="N49" s="9"/>
      <c r="O49" s="3"/>
      <c r="P49" s="3"/>
      <c r="Q49" s="3"/>
      <c r="R49" s="3"/>
    </row>
    <row r="50" spans="1:18">
      <c r="A50" s="3"/>
      <c r="B50" s="3"/>
      <c r="C50" s="3"/>
      <c r="D50" s="3"/>
      <c r="E50" s="3"/>
      <c r="F50" s="9"/>
      <c r="G50" s="9"/>
      <c r="H50" s="9"/>
      <c r="I50" s="9"/>
      <c r="J50" s="9"/>
      <c r="K50" s="9"/>
      <c r="L50" s="9"/>
      <c r="M50" s="9"/>
      <c r="N50" s="9"/>
      <c r="O50" s="3"/>
      <c r="P50" s="3"/>
      <c r="Q50" s="3"/>
      <c r="R50" s="3"/>
    </row>
    <row r="51" spans="1:18">
      <c r="A51" s="3"/>
      <c r="B51" s="3"/>
      <c r="C51" s="3"/>
      <c r="D51" s="3"/>
      <c r="E51" s="3"/>
      <c r="F51" s="9"/>
      <c r="G51" s="9"/>
      <c r="H51" s="9"/>
      <c r="I51" s="9"/>
      <c r="J51" s="9"/>
      <c r="K51" s="9"/>
      <c r="L51" s="9"/>
      <c r="M51" s="9"/>
      <c r="N51" s="9"/>
      <c r="O51" s="3"/>
      <c r="P51" s="3"/>
      <c r="Q51" s="3"/>
      <c r="R51" s="3"/>
    </row>
    <row r="52" spans="1:18">
      <c r="A52" s="3"/>
      <c r="B52" s="3"/>
      <c r="C52" s="3"/>
      <c r="D52" s="3"/>
      <c r="E52" s="3"/>
      <c r="F52" s="9"/>
      <c r="G52" s="9"/>
      <c r="H52" s="9"/>
      <c r="I52" s="9"/>
      <c r="J52" s="9"/>
      <c r="K52" s="9"/>
      <c r="L52" s="9"/>
      <c r="M52" s="9"/>
      <c r="N52" s="9"/>
      <c r="O52" s="3"/>
      <c r="P52" s="3"/>
      <c r="Q52" s="3"/>
      <c r="R52" s="3"/>
    </row>
    <row r="53" spans="1:18">
      <c r="A53" s="3"/>
      <c r="B53" s="3"/>
      <c r="C53" s="3"/>
      <c r="D53" s="3"/>
      <c r="E53" s="3"/>
      <c r="F53" s="9"/>
      <c r="G53" s="9"/>
      <c r="H53" s="9"/>
      <c r="I53" s="9"/>
      <c r="J53" s="9"/>
      <c r="K53" s="9"/>
      <c r="L53" s="9"/>
      <c r="M53" s="9"/>
      <c r="N53" s="9"/>
      <c r="O53" s="3"/>
      <c r="P53" s="3"/>
      <c r="Q53" s="3"/>
      <c r="R53" s="3"/>
    </row>
    <row r="54" spans="1:18">
      <c r="A54" s="3"/>
      <c r="B54" s="3"/>
      <c r="C54" s="3"/>
      <c r="D54" s="3"/>
      <c r="E54" s="3"/>
      <c r="F54" s="9"/>
      <c r="G54" s="9"/>
      <c r="H54" s="9"/>
      <c r="I54" s="9"/>
      <c r="J54" s="9"/>
      <c r="K54" s="9"/>
      <c r="L54" s="9"/>
      <c r="M54" s="9"/>
      <c r="N54" s="9"/>
      <c r="O54" s="3"/>
      <c r="P54" s="3"/>
      <c r="Q54" s="3"/>
      <c r="R54" s="3"/>
    </row>
    <row r="55" spans="1:18">
      <c r="A55" s="3"/>
      <c r="B55" s="3"/>
      <c r="C55" s="3"/>
      <c r="D55" s="3"/>
      <c r="E55" s="3"/>
      <c r="F55" s="9"/>
      <c r="G55" s="9"/>
      <c r="H55" s="9"/>
      <c r="I55" s="9"/>
      <c r="J55" s="9"/>
      <c r="K55" s="9"/>
      <c r="L55" s="9"/>
      <c r="M55" s="9"/>
      <c r="N55" s="9"/>
      <c r="O55" s="3"/>
      <c r="P55" s="3"/>
      <c r="Q55" s="3"/>
      <c r="R55" s="3"/>
    </row>
    <row r="56" spans="1:18">
      <c r="A56" s="3"/>
      <c r="B56" s="3"/>
      <c r="C56" s="3"/>
      <c r="D56" s="3"/>
      <c r="E56" s="3"/>
      <c r="F56" s="9"/>
      <c r="G56" s="9"/>
      <c r="H56" s="9"/>
      <c r="I56" s="9"/>
      <c r="J56" s="9"/>
      <c r="K56" s="9"/>
      <c r="L56" s="9"/>
      <c r="M56" s="9"/>
      <c r="N56" s="9"/>
      <c r="O56" s="3"/>
      <c r="P56" s="3"/>
      <c r="Q56" s="3"/>
      <c r="R56" s="3"/>
    </row>
    <row r="57" spans="1:18">
      <c r="A57" s="3"/>
      <c r="B57" s="3"/>
      <c r="C57" s="3"/>
      <c r="D57" s="3"/>
      <c r="E57" s="3"/>
      <c r="F57" s="9"/>
      <c r="G57" s="9"/>
      <c r="H57" s="9"/>
      <c r="I57" s="9"/>
      <c r="J57" s="9"/>
      <c r="K57" s="9"/>
      <c r="L57" s="9"/>
      <c r="M57" s="9"/>
      <c r="N57" s="9"/>
      <c r="O57" s="3"/>
      <c r="P57" s="3"/>
      <c r="Q57" s="3"/>
      <c r="R57" s="3"/>
    </row>
    <row r="58" spans="1:18">
      <c r="A58" s="3"/>
      <c r="B58" s="3"/>
      <c r="C58" s="3"/>
      <c r="D58" s="3"/>
      <c r="E58" s="3"/>
      <c r="F58" s="9"/>
      <c r="G58" s="9"/>
      <c r="H58" s="9"/>
      <c r="I58" s="9"/>
      <c r="J58" s="9"/>
      <c r="K58" s="9"/>
      <c r="L58" s="9"/>
      <c r="M58" s="9"/>
      <c r="N58" s="9"/>
      <c r="O58" s="3"/>
      <c r="P58" s="3"/>
      <c r="Q58" s="3"/>
      <c r="R58" s="3"/>
    </row>
    <row r="59" spans="1:18">
      <c r="A59" s="3"/>
      <c r="B59" s="3"/>
      <c r="C59" s="3"/>
      <c r="D59" s="3"/>
      <c r="E59" s="3"/>
      <c r="F59" s="9"/>
      <c r="G59" s="9"/>
      <c r="H59" s="9"/>
      <c r="I59" s="9"/>
      <c r="J59" s="9"/>
      <c r="K59" s="9"/>
      <c r="L59" s="9"/>
      <c r="M59" s="9"/>
      <c r="N59" s="9"/>
      <c r="O59" s="3"/>
      <c r="P59" s="3"/>
      <c r="Q59" s="3"/>
      <c r="R59" s="3"/>
    </row>
    <row r="60" spans="1:18">
      <c r="A60" s="3"/>
      <c r="B60" s="3"/>
      <c r="C60" s="3"/>
      <c r="D60" s="3"/>
      <c r="E60" s="3"/>
      <c r="F60" s="9"/>
      <c r="G60" s="9"/>
      <c r="H60" s="9"/>
      <c r="I60" s="9"/>
      <c r="J60" s="9"/>
      <c r="K60" s="9"/>
      <c r="L60" s="9"/>
      <c r="M60" s="9"/>
      <c r="N60" s="9"/>
      <c r="O60" s="3"/>
      <c r="P60" s="3"/>
      <c r="Q60" s="3"/>
      <c r="R60" s="3"/>
    </row>
    <row r="61" spans="1:18">
      <c r="A61" s="3"/>
      <c r="B61" s="3"/>
      <c r="C61" s="3"/>
      <c r="D61" s="3"/>
      <c r="E61" s="3"/>
      <c r="F61" s="9"/>
      <c r="G61" s="9"/>
      <c r="H61" s="9"/>
      <c r="I61" s="9"/>
      <c r="J61" s="9"/>
      <c r="K61" s="9"/>
      <c r="L61" s="9"/>
      <c r="M61" s="9"/>
      <c r="N61" s="9"/>
      <c r="O61" s="3"/>
      <c r="P61" s="3"/>
      <c r="Q61" s="3"/>
      <c r="R61" s="3"/>
    </row>
    <row r="62" spans="1:18">
      <c r="A62" s="3"/>
      <c r="B62" s="3"/>
      <c r="C62" s="3"/>
      <c r="D62" s="3"/>
      <c r="E62" s="3"/>
      <c r="F62" s="9"/>
      <c r="G62" s="9"/>
      <c r="H62" s="9"/>
      <c r="I62" s="9"/>
      <c r="J62" s="9"/>
      <c r="K62" s="9"/>
      <c r="L62" s="9"/>
      <c r="M62" s="9"/>
      <c r="N62" s="9"/>
      <c r="O62" s="3"/>
      <c r="P62" s="3"/>
      <c r="Q62" s="3"/>
      <c r="R62" s="3"/>
    </row>
    <row r="63" spans="1:18">
      <c r="A63" s="3"/>
      <c r="B63" s="3"/>
      <c r="C63" s="3"/>
      <c r="D63" s="3"/>
      <c r="E63" s="3"/>
      <c r="F63" s="9"/>
      <c r="G63" s="9"/>
      <c r="H63" s="9"/>
      <c r="I63" s="9"/>
      <c r="J63" s="9"/>
      <c r="K63" s="9"/>
      <c r="L63" s="9"/>
      <c r="M63" s="9"/>
      <c r="N63" s="9"/>
      <c r="O63" s="3"/>
      <c r="P63" s="3"/>
      <c r="Q63" s="3"/>
      <c r="R63" s="3"/>
    </row>
    <row r="64" spans="1:18">
      <c r="A64" s="3"/>
      <c r="B64" s="3"/>
      <c r="C64" s="3"/>
      <c r="D64" s="3"/>
      <c r="E64" s="3"/>
      <c r="F64" s="9"/>
      <c r="G64" s="9"/>
      <c r="H64" s="9"/>
      <c r="I64" s="9"/>
      <c r="J64" s="9"/>
      <c r="K64" s="9"/>
      <c r="L64" s="9"/>
      <c r="M64" s="9"/>
      <c r="N64" s="9"/>
      <c r="O64" s="3"/>
      <c r="P64" s="3"/>
      <c r="Q64" s="3"/>
      <c r="R64" s="3"/>
    </row>
    <row r="65" spans="1:18">
      <c r="A65" s="3"/>
      <c r="B65" s="3"/>
      <c r="C65" s="3"/>
      <c r="D65" s="3"/>
      <c r="E65" s="3"/>
      <c r="F65" s="9"/>
      <c r="G65" s="9"/>
      <c r="H65" s="9"/>
      <c r="I65" s="9"/>
      <c r="J65" s="9"/>
      <c r="K65" s="9"/>
      <c r="L65" s="9"/>
      <c r="M65" s="9"/>
      <c r="N65" s="9"/>
      <c r="O65" s="3"/>
      <c r="P65" s="3"/>
      <c r="Q65" s="3"/>
      <c r="R65" s="3"/>
    </row>
    <row r="66" spans="1:18">
      <c r="A66" s="3"/>
      <c r="B66" s="3"/>
      <c r="C66" s="3"/>
      <c r="D66" s="3"/>
      <c r="E66" s="3"/>
      <c r="F66" s="9"/>
      <c r="G66" s="9"/>
      <c r="H66" s="9"/>
      <c r="I66" s="9"/>
      <c r="J66" s="9"/>
      <c r="K66" s="9"/>
      <c r="L66" s="9"/>
      <c r="M66" s="9"/>
      <c r="N66" s="9"/>
      <c r="O66" s="3"/>
      <c r="P66" s="3"/>
      <c r="Q66" s="3"/>
      <c r="R66" s="3"/>
    </row>
    <row r="67" spans="1:18">
      <c r="A67" s="3"/>
      <c r="B67" s="3"/>
      <c r="C67" s="3"/>
      <c r="D67" s="3"/>
      <c r="E67" s="3"/>
      <c r="F67" s="9"/>
      <c r="G67" s="9"/>
      <c r="H67" s="9"/>
      <c r="I67" s="9"/>
      <c r="J67" s="9"/>
      <c r="K67" s="9"/>
      <c r="L67" s="9"/>
      <c r="M67" s="9"/>
      <c r="N67" s="9"/>
      <c r="O67" s="3"/>
      <c r="P67" s="3"/>
      <c r="Q67" s="3"/>
      <c r="R67" s="3"/>
    </row>
    <row r="68" spans="1:18">
      <c r="A68" s="3"/>
      <c r="B68" s="3"/>
      <c r="C68" s="3"/>
      <c r="D68" s="3"/>
      <c r="E68" s="3"/>
      <c r="F68" s="9"/>
      <c r="G68" s="9"/>
      <c r="H68" s="9"/>
      <c r="I68" s="9"/>
      <c r="J68" s="9"/>
      <c r="K68" s="9"/>
      <c r="L68" s="9"/>
      <c r="M68" s="9"/>
      <c r="N68" s="9"/>
      <c r="O68" s="3"/>
      <c r="P68" s="3"/>
      <c r="Q68" s="3"/>
      <c r="R68" s="3"/>
    </row>
    <row r="69" spans="1:18">
      <c r="A69" s="3"/>
      <c r="B69" s="3"/>
      <c r="C69" s="3"/>
      <c r="D69" s="3"/>
      <c r="E69" s="3"/>
      <c r="F69" s="9"/>
      <c r="G69" s="9"/>
      <c r="H69" s="9"/>
      <c r="I69" s="9"/>
      <c r="J69" s="9"/>
      <c r="K69" s="9"/>
      <c r="L69" s="9"/>
      <c r="M69" s="9"/>
      <c r="N69" s="9"/>
      <c r="O69" s="3"/>
      <c r="P69" s="3"/>
      <c r="Q69" s="3"/>
      <c r="R69" s="3"/>
    </row>
    <row r="70" spans="1:18">
      <c r="A70" s="3"/>
      <c r="B70" s="3"/>
      <c r="C70" s="3"/>
      <c r="D70" s="3"/>
      <c r="E70" s="3"/>
      <c r="F70" s="9"/>
      <c r="G70" s="9"/>
      <c r="H70" s="9"/>
      <c r="I70" s="9"/>
      <c r="J70" s="9"/>
      <c r="K70" s="9"/>
      <c r="L70" s="9"/>
      <c r="M70" s="9"/>
      <c r="N70" s="9"/>
      <c r="O70" s="3"/>
      <c r="P70" s="3"/>
      <c r="Q70" s="3"/>
      <c r="R70" s="3"/>
    </row>
    <row r="71" spans="1:18">
      <c r="A71" s="3"/>
      <c r="B71" s="3"/>
      <c r="C71" s="3"/>
      <c r="D71" s="3"/>
      <c r="E71" s="3"/>
      <c r="F71" s="9"/>
      <c r="G71" s="9"/>
      <c r="H71" s="9"/>
      <c r="I71" s="9"/>
      <c r="J71" s="9"/>
      <c r="K71" s="9"/>
      <c r="L71" s="9"/>
      <c r="M71" s="9"/>
      <c r="N71" s="9"/>
      <c r="O71" s="3"/>
      <c r="P71" s="3"/>
      <c r="Q71" s="3"/>
      <c r="R71" s="3"/>
    </row>
    <row r="72" spans="1:18">
      <c r="A72" s="3"/>
      <c r="B72" s="3"/>
      <c r="C72" s="3"/>
      <c r="D72" s="3"/>
      <c r="E72" s="3"/>
      <c r="F72" s="9"/>
      <c r="G72" s="9"/>
      <c r="H72" s="9"/>
      <c r="I72" s="9"/>
      <c r="J72" s="9"/>
      <c r="K72" s="9"/>
      <c r="L72" s="9"/>
      <c r="M72" s="9"/>
      <c r="N72" s="9"/>
      <c r="O72" s="3"/>
      <c r="P72" s="3"/>
      <c r="Q72" s="3"/>
      <c r="R72" s="3"/>
    </row>
    <row r="73" spans="1:18">
      <c r="A73" s="3"/>
      <c r="B73" s="3"/>
      <c r="C73" s="3"/>
      <c r="D73" s="3"/>
      <c r="E73" s="3"/>
      <c r="F73" s="9"/>
      <c r="G73" s="9"/>
      <c r="H73" s="9"/>
      <c r="I73" s="9"/>
      <c r="J73" s="9"/>
      <c r="K73" s="9"/>
      <c r="L73" s="9"/>
      <c r="M73" s="9"/>
      <c r="N73" s="9"/>
      <c r="O73" s="3"/>
      <c r="P73" s="3"/>
      <c r="Q73" s="3"/>
      <c r="R73" s="3"/>
    </row>
    <row r="74" spans="1:18">
      <c r="A74" s="3"/>
      <c r="B74" s="3"/>
      <c r="C74" s="3"/>
      <c r="D74" s="3"/>
      <c r="E74" s="3"/>
      <c r="F74" s="9"/>
      <c r="G74" s="9"/>
      <c r="H74" s="9"/>
      <c r="I74" s="9"/>
      <c r="J74" s="9"/>
      <c r="K74" s="9"/>
      <c r="L74" s="9"/>
      <c r="M74" s="9"/>
      <c r="N74" s="9"/>
      <c r="O74" s="3"/>
      <c r="P74" s="3"/>
      <c r="Q74" s="3"/>
      <c r="R74" s="3"/>
    </row>
    <row r="75" spans="1:18">
      <c r="A75" s="3"/>
      <c r="B75" s="3"/>
      <c r="C75" s="3"/>
      <c r="D75" s="3"/>
      <c r="E75" s="3"/>
      <c r="F75" s="9"/>
      <c r="G75" s="9"/>
      <c r="H75" s="9"/>
      <c r="I75" s="9"/>
      <c r="J75" s="9"/>
      <c r="K75" s="9"/>
      <c r="L75" s="9"/>
      <c r="M75" s="9"/>
      <c r="N75" s="9"/>
      <c r="O75" s="3"/>
      <c r="P75" s="3"/>
      <c r="Q75" s="3"/>
      <c r="R75" s="3"/>
    </row>
    <row r="76" spans="1:18">
      <c r="A76" s="3"/>
      <c r="B76" s="3"/>
      <c r="C76" s="3"/>
      <c r="D76" s="3"/>
      <c r="E76" s="3"/>
      <c r="F76" s="9"/>
      <c r="G76" s="9"/>
      <c r="H76" s="9"/>
      <c r="I76" s="9"/>
      <c r="J76" s="9"/>
      <c r="K76" s="9"/>
      <c r="L76" s="9"/>
      <c r="M76" s="9"/>
      <c r="N76" s="9"/>
      <c r="O76" s="3"/>
      <c r="P76" s="3"/>
      <c r="Q76" s="3"/>
      <c r="R76" s="3"/>
    </row>
    <row r="77" spans="1:18">
      <c r="A77" s="3"/>
      <c r="B77" s="3"/>
      <c r="C77" s="3"/>
      <c r="D77" s="3"/>
      <c r="E77" s="3"/>
      <c r="F77" s="9"/>
      <c r="G77" s="9"/>
      <c r="H77" s="9"/>
      <c r="I77" s="9"/>
      <c r="J77" s="9"/>
      <c r="K77" s="9"/>
      <c r="L77" s="9"/>
      <c r="M77" s="9"/>
      <c r="N77" s="9"/>
      <c r="O77" s="3"/>
      <c r="P77" s="3"/>
      <c r="Q77" s="3"/>
      <c r="R77" s="3"/>
    </row>
    <row r="78" spans="1:18">
      <c r="A78" s="3"/>
      <c r="B78" s="3"/>
      <c r="C78" s="3"/>
      <c r="D78" s="3"/>
      <c r="E78" s="3"/>
      <c r="F78" s="9"/>
      <c r="G78" s="9"/>
      <c r="H78" s="9"/>
      <c r="I78" s="9"/>
      <c r="J78" s="9"/>
      <c r="K78" s="9"/>
      <c r="L78" s="9"/>
      <c r="M78" s="9"/>
      <c r="N78" s="9"/>
      <c r="O78" s="3"/>
      <c r="P78" s="3"/>
      <c r="Q78" s="3"/>
      <c r="R78" s="3"/>
    </row>
    <row r="79" spans="1:18">
      <c r="A79" s="3"/>
      <c r="B79" s="3"/>
      <c r="C79" s="3"/>
      <c r="D79" s="3"/>
      <c r="E79" s="3"/>
      <c r="F79" s="9"/>
      <c r="G79" s="9"/>
      <c r="H79" s="9"/>
      <c r="I79" s="9"/>
      <c r="J79" s="9"/>
      <c r="K79" s="9"/>
      <c r="L79" s="9"/>
      <c r="M79" s="9"/>
      <c r="N79" s="9"/>
      <c r="O79" s="3"/>
      <c r="P79" s="3"/>
      <c r="Q79" s="3"/>
      <c r="R79" s="3"/>
    </row>
    <row r="80" spans="1:18">
      <c r="A80" s="3"/>
      <c r="B80" s="3"/>
      <c r="C80" s="3"/>
      <c r="D80" s="3"/>
      <c r="E80" s="3"/>
      <c r="F80" s="9"/>
      <c r="G80" s="9"/>
      <c r="H80" s="9"/>
      <c r="I80" s="9"/>
      <c r="J80" s="9"/>
      <c r="K80" s="9"/>
      <c r="L80" s="9"/>
      <c r="M80" s="9"/>
      <c r="N80" s="9"/>
      <c r="O80" s="3"/>
      <c r="P80" s="3"/>
      <c r="Q80" s="3"/>
      <c r="R80" s="3"/>
    </row>
    <row r="81" spans="1:18">
      <c r="A81" s="3"/>
      <c r="B81" s="3"/>
      <c r="C81" s="3"/>
      <c r="D81" s="3"/>
      <c r="E81" s="3"/>
      <c r="F81" s="9"/>
      <c r="G81" s="9"/>
      <c r="H81" s="9"/>
      <c r="I81" s="9"/>
      <c r="J81" s="9"/>
      <c r="K81" s="9"/>
      <c r="L81" s="9"/>
      <c r="M81" s="9"/>
      <c r="N81" s="9"/>
      <c r="O81" s="3"/>
      <c r="P81" s="3"/>
      <c r="Q81" s="3"/>
      <c r="R81" s="3"/>
    </row>
    <row r="82" spans="1:18">
      <c r="A82" s="3"/>
      <c r="B82" s="3"/>
      <c r="C82" s="3"/>
      <c r="D82" s="3"/>
      <c r="E82" s="3"/>
      <c r="F82" s="9"/>
      <c r="G82" s="9"/>
      <c r="H82" s="9"/>
      <c r="I82" s="9"/>
      <c r="J82" s="9"/>
      <c r="K82" s="9"/>
      <c r="L82" s="9"/>
      <c r="M82" s="9"/>
      <c r="N82" s="9"/>
      <c r="O82" s="3"/>
      <c r="P82" s="3"/>
      <c r="Q82" s="3"/>
      <c r="R82" s="3"/>
    </row>
    <row r="83" spans="1:18">
      <c r="A83" s="3"/>
      <c r="B83" s="3"/>
      <c r="C83" s="3"/>
      <c r="D83" s="3"/>
      <c r="E83" s="3"/>
      <c r="F83" s="9"/>
      <c r="G83" s="9"/>
      <c r="H83" s="9"/>
      <c r="I83" s="9"/>
      <c r="J83" s="9"/>
      <c r="K83" s="9"/>
      <c r="L83" s="9"/>
      <c r="M83" s="9"/>
      <c r="N83" s="9"/>
      <c r="O83" s="3"/>
      <c r="P83" s="3"/>
      <c r="Q83" s="3"/>
      <c r="R83" s="3"/>
    </row>
    <row r="84" spans="1:18">
      <c r="A84" s="3"/>
      <c r="B84" s="3"/>
      <c r="C84" s="3"/>
      <c r="D84" s="3"/>
      <c r="E84" s="3"/>
      <c r="F84" s="9"/>
      <c r="G84" s="9"/>
      <c r="H84" s="9"/>
      <c r="I84" s="9"/>
      <c r="J84" s="9"/>
      <c r="K84" s="9"/>
      <c r="L84" s="9"/>
      <c r="M84" s="9"/>
      <c r="N84" s="9"/>
      <c r="O84" s="3"/>
      <c r="P84" s="3"/>
      <c r="Q84" s="3"/>
      <c r="R84" s="3"/>
    </row>
    <row r="85" spans="1:18">
      <c r="A85" s="3"/>
      <c r="B85" s="3"/>
      <c r="C85" s="3"/>
      <c r="D85" s="3"/>
      <c r="E85" s="3"/>
      <c r="F85" s="9"/>
      <c r="G85" s="9"/>
      <c r="H85" s="9"/>
      <c r="I85" s="9"/>
      <c r="J85" s="9"/>
      <c r="K85" s="9"/>
      <c r="L85" s="9"/>
      <c r="M85" s="9"/>
      <c r="N85" s="9"/>
      <c r="O85" s="3"/>
      <c r="P85" s="3"/>
      <c r="Q85" s="3"/>
      <c r="R85" s="3"/>
    </row>
    <row r="86" spans="1:18">
      <c r="A86" s="3"/>
      <c r="B86" s="3"/>
      <c r="C86" s="3"/>
      <c r="D86" s="3"/>
      <c r="E86" s="3"/>
      <c r="F86" s="9"/>
      <c r="G86" s="9"/>
      <c r="H86" s="9"/>
      <c r="I86" s="9"/>
      <c r="J86" s="9"/>
      <c r="K86" s="9"/>
      <c r="L86" s="9"/>
      <c r="M86" s="9"/>
      <c r="N86" s="9"/>
      <c r="O86" s="3"/>
      <c r="P86" s="3"/>
      <c r="Q86" s="3"/>
      <c r="R86" s="3"/>
    </row>
    <row r="87" spans="1:18">
      <c r="A87" s="3"/>
      <c r="B87" s="3"/>
      <c r="C87" s="3"/>
      <c r="D87" s="3"/>
      <c r="E87" s="3"/>
      <c r="F87" s="9"/>
      <c r="G87" s="9"/>
      <c r="H87" s="9"/>
      <c r="I87" s="9"/>
      <c r="J87" s="9"/>
      <c r="K87" s="9"/>
      <c r="L87" s="9"/>
      <c r="M87" s="9"/>
      <c r="N87" s="9"/>
      <c r="O87" s="3"/>
      <c r="P87" s="3"/>
      <c r="Q87" s="3"/>
      <c r="R87" s="3"/>
    </row>
    <row r="88" spans="1:18">
      <c r="A88" s="3"/>
      <c r="B88" s="3"/>
      <c r="C88" s="3"/>
      <c r="D88" s="3"/>
      <c r="E88" s="3"/>
      <c r="F88" s="9"/>
      <c r="G88" s="9"/>
      <c r="H88" s="9"/>
      <c r="I88" s="9"/>
      <c r="J88" s="9"/>
      <c r="K88" s="9"/>
      <c r="L88" s="9"/>
      <c r="M88" s="9"/>
      <c r="N88" s="9"/>
      <c r="O88" s="3"/>
      <c r="P88" s="3"/>
      <c r="Q88" s="3"/>
      <c r="R88" s="3"/>
    </row>
    <row r="89" spans="1:18">
      <c r="A89" s="3"/>
      <c r="B89" s="3"/>
      <c r="C89" s="3"/>
      <c r="D89" s="3"/>
      <c r="E89" s="3"/>
      <c r="F89" s="9"/>
      <c r="G89" s="9"/>
      <c r="H89" s="9"/>
      <c r="I89" s="9"/>
      <c r="J89" s="9"/>
      <c r="K89" s="9"/>
      <c r="L89" s="9"/>
      <c r="M89" s="9"/>
      <c r="N89" s="9"/>
      <c r="O89" s="3"/>
      <c r="P89" s="3"/>
      <c r="Q89" s="3"/>
      <c r="R89" s="3"/>
    </row>
    <row r="90" spans="1:18">
      <c r="A90" s="3"/>
      <c r="B90" s="3"/>
      <c r="C90" s="3"/>
      <c r="D90" s="3"/>
      <c r="E90" s="3"/>
      <c r="F90" s="9"/>
      <c r="G90" s="9"/>
      <c r="H90" s="9"/>
      <c r="I90" s="9"/>
      <c r="J90" s="9"/>
      <c r="K90" s="9"/>
      <c r="L90" s="9"/>
      <c r="M90" s="9"/>
      <c r="N90" s="9"/>
      <c r="O90" s="3"/>
      <c r="P90" s="3"/>
      <c r="Q90" s="3"/>
      <c r="R90" s="3"/>
    </row>
    <row r="91" spans="1:18">
      <c r="A91" s="3"/>
      <c r="B91" s="3"/>
      <c r="C91" s="3"/>
      <c r="D91" s="3"/>
      <c r="E91" s="3"/>
      <c r="F91" s="9"/>
      <c r="G91" s="9"/>
      <c r="H91" s="9"/>
      <c r="I91" s="9"/>
      <c r="J91" s="9"/>
      <c r="K91" s="9"/>
      <c r="L91" s="9"/>
      <c r="M91" s="9"/>
      <c r="N91" s="9"/>
      <c r="O91" s="3"/>
      <c r="P91" s="3"/>
      <c r="Q91" s="3"/>
      <c r="R91" s="3"/>
    </row>
    <row r="92" spans="1:18">
      <c r="A92" s="3"/>
      <c r="B92" s="3"/>
      <c r="C92" s="3"/>
      <c r="D92" s="3"/>
      <c r="E92" s="3"/>
      <c r="F92" s="9"/>
      <c r="G92" s="9"/>
      <c r="H92" s="9"/>
      <c r="I92" s="9"/>
      <c r="J92" s="9"/>
      <c r="K92" s="9"/>
      <c r="L92" s="9"/>
      <c r="M92" s="9"/>
      <c r="N92" s="9"/>
      <c r="O92" s="3"/>
      <c r="P92" s="3"/>
      <c r="Q92" s="3"/>
      <c r="R92" s="3"/>
    </row>
    <row r="93" spans="1:18">
      <c r="A93" s="3"/>
      <c r="B93" s="3"/>
      <c r="C93" s="3"/>
      <c r="D93" s="3"/>
      <c r="E93" s="3"/>
      <c r="F93" s="9"/>
      <c r="G93" s="9"/>
      <c r="H93" s="9"/>
      <c r="I93" s="9"/>
      <c r="J93" s="9"/>
      <c r="K93" s="9"/>
      <c r="L93" s="9"/>
      <c r="M93" s="9"/>
      <c r="N93" s="9"/>
      <c r="O93" s="3"/>
      <c r="P93" s="3"/>
      <c r="Q93" s="3"/>
      <c r="R93" s="3"/>
    </row>
    <row r="94" spans="1:18">
      <c r="A94" s="3"/>
      <c r="B94" s="3"/>
      <c r="C94" s="3"/>
      <c r="D94" s="3"/>
      <c r="E94" s="3"/>
      <c r="F94" s="9"/>
      <c r="G94" s="9"/>
      <c r="H94" s="9"/>
      <c r="I94" s="9"/>
      <c r="J94" s="9"/>
      <c r="K94" s="9"/>
      <c r="L94" s="9"/>
      <c r="M94" s="9"/>
      <c r="N94" s="9"/>
      <c r="O94" s="3"/>
      <c r="P94" s="3"/>
      <c r="Q94" s="3"/>
      <c r="R94" s="3"/>
    </row>
    <row r="95" spans="1:18">
      <c r="A95" s="3"/>
      <c r="B95" s="3"/>
      <c r="C95" s="3"/>
      <c r="D95" s="3"/>
      <c r="E95" s="3"/>
      <c r="F95" s="9"/>
      <c r="G95" s="9"/>
      <c r="H95" s="9"/>
      <c r="I95" s="9"/>
      <c r="J95" s="9"/>
      <c r="K95" s="9"/>
      <c r="L95" s="9"/>
      <c r="M95" s="9"/>
      <c r="N95" s="9"/>
      <c r="O95" s="3"/>
      <c r="P95" s="3"/>
      <c r="Q95" s="3"/>
      <c r="R95" s="3"/>
    </row>
    <row r="96" spans="1:18">
      <c r="A96" s="3"/>
      <c r="B96" s="3"/>
      <c r="C96" s="3"/>
      <c r="D96" s="3"/>
      <c r="E96" s="3"/>
      <c r="F96" s="9"/>
      <c r="G96" s="9"/>
      <c r="H96" s="9"/>
      <c r="I96" s="9"/>
      <c r="J96" s="9"/>
      <c r="K96" s="9"/>
      <c r="L96" s="9"/>
      <c r="M96" s="9"/>
      <c r="N96" s="9"/>
      <c r="O96" s="3"/>
      <c r="P96" s="3"/>
      <c r="Q96" s="3"/>
      <c r="R96" s="3"/>
    </row>
    <row r="97" spans="1:18">
      <c r="A97" s="3"/>
      <c r="B97" s="3"/>
      <c r="C97" s="3"/>
      <c r="D97" s="3"/>
      <c r="E97" s="3"/>
      <c r="F97" s="9"/>
      <c r="G97" s="9"/>
      <c r="H97" s="9"/>
      <c r="I97" s="9"/>
      <c r="J97" s="9"/>
      <c r="K97" s="9"/>
      <c r="L97" s="9"/>
      <c r="M97" s="9"/>
      <c r="N97" s="9"/>
      <c r="O97" s="3"/>
      <c r="P97" s="3"/>
      <c r="Q97" s="3"/>
      <c r="R97" s="3"/>
    </row>
    <row r="98" spans="1:18">
      <c r="A98" s="3"/>
      <c r="B98" s="3"/>
      <c r="C98" s="3"/>
      <c r="D98" s="3"/>
      <c r="E98" s="3"/>
      <c r="F98" s="9"/>
      <c r="G98" s="9"/>
      <c r="H98" s="9"/>
      <c r="I98" s="9"/>
      <c r="J98" s="9"/>
      <c r="K98" s="9"/>
      <c r="L98" s="9"/>
      <c r="M98" s="9"/>
      <c r="N98" s="9"/>
      <c r="O98" s="3"/>
      <c r="P98" s="3"/>
      <c r="Q98" s="3"/>
      <c r="R98" s="3"/>
    </row>
    <row r="99" spans="1:18">
      <c r="A99" s="3"/>
      <c r="B99" s="3"/>
      <c r="C99" s="3"/>
      <c r="D99" s="3"/>
      <c r="E99" s="3"/>
      <c r="F99" s="9"/>
      <c r="G99" s="9"/>
      <c r="H99" s="9"/>
      <c r="I99" s="9"/>
      <c r="J99" s="9"/>
      <c r="K99" s="9"/>
      <c r="L99" s="9"/>
      <c r="M99" s="9"/>
      <c r="N99" s="9"/>
      <c r="O99" s="3"/>
      <c r="P99" s="3"/>
      <c r="Q99" s="3"/>
      <c r="R99" s="3"/>
    </row>
    <row r="100" spans="1:18">
      <c r="A100" s="3"/>
      <c r="B100" s="3"/>
      <c r="C100" s="3"/>
      <c r="D100" s="3"/>
      <c r="E100" s="3"/>
      <c r="F100" s="9"/>
      <c r="G100" s="9"/>
      <c r="H100" s="9"/>
      <c r="I100" s="9"/>
      <c r="J100" s="9"/>
      <c r="K100" s="9"/>
      <c r="L100" s="9"/>
      <c r="M100" s="9"/>
      <c r="N100" s="9"/>
      <c r="O100" s="3"/>
      <c r="P100" s="3"/>
      <c r="Q100" s="3"/>
      <c r="R100" s="3"/>
    </row>
    <row r="101" spans="1:18">
      <c r="A101" s="3"/>
      <c r="B101" s="3"/>
      <c r="C101" s="3"/>
      <c r="D101" s="3"/>
      <c r="E101" s="3"/>
      <c r="F101" s="9"/>
      <c r="G101" s="9"/>
      <c r="H101" s="9"/>
      <c r="I101" s="9"/>
      <c r="J101" s="9"/>
      <c r="K101" s="9"/>
      <c r="L101" s="9"/>
      <c r="M101" s="9"/>
      <c r="N101" s="9"/>
      <c r="O101" s="3"/>
      <c r="P101" s="3"/>
      <c r="Q101" s="3"/>
      <c r="R101" s="3"/>
    </row>
    <row r="102" spans="1:18">
      <c r="A102" s="3"/>
      <c r="B102" s="3"/>
      <c r="C102" s="3"/>
      <c r="D102" s="3"/>
      <c r="E102" s="3"/>
      <c r="F102" s="9"/>
      <c r="G102" s="9"/>
      <c r="H102" s="9"/>
      <c r="I102" s="9"/>
      <c r="J102" s="9"/>
      <c r="K102" s="9"/>
      <c r="L102" s="9"/>
      <c r="M102" s="9"/>
      <c r="N102" s="9"/>
      <c r="O102" s="3"/>
      <c r="P102" s="3"/>
      <c r="Q102" s="3"/>
      <c r="R102" s="3"/>
    </row>
    <row r="103" spans="1:18">
      <c r="A103" s="3"/>
      <c r="B103" s="3"/>
      <c r="C103" s="3"/>
      <c r="D103" s="3"/>
      <c r="E103" s="3"/>
      <c r="F103" s="9"/>
      <c r="G103" s="9"/>
      <c r="H103" s="9"/>
      <c r="I103" s="9"/>
      <c r="J103" s="9"/>
      <c r="K103" s="9"/>
      <c r="L103" s="9"/>
      <c r="M103" s="9"/>
      <c r="N103" s="9"/>
      <c r="O103" s="3"/>
      <c r="P103" s="3"/>
      <c r="Q103" s="3"/>
      <c r="R103" s="3"/>
    </row>
  </sheetData>
  <mergeCells count="1">
    <mergeCell ref="A1:R1"/>
  </mergeCells>
  <conditionalFormatting sqref="F4:N103">
    <cfRule type="colorScale" priority="1">
      <colorScale>
        <cfvo type="min"/>
        <cfvo type="percentile" val="50"/>
        <cfvo type="max"/>
        <color rgb="FFFDECEC"/>
        <color rgb="FFFFF4B8"/>
        <color rgb="FFE8F5EE"/>
      </colorScale>
    </cfRule>
  </conditionalFormatting>
  <dataValidations count="2">
    <dataValidation type="list" sqref="D4:D103" xr:uid="{00000000-0002-0000-0200-000000000000}">
      <formula1>"Very Cheap,Cheap,Fair Value,Expensive,Very Expensive"</formula1>
    </dataValidation>
    <dataValidation type="list" sqref="O4:O103" xr:uid="{00000000-0002-0000-0200-000001000000}">
      <formula1>"Pending,In Progress,Completed,Needs Update"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03"/>
  <sheetViews>
    <sheetView workbookViewId="0">
      <pane ySplit="3" topLeftCell="A4" activePane="bottomLeft" state="frozen"/>
      <selection pane="bottomLeft"/>
    </sheetView>
  </sheetViews>
  <sheetFormatPr defaultRowHeight="14"/>
  <cols>
    <col min="1" max="1" width="11" customWidth="1"/>
    <col min="2" max="2" width="22" customWidth="1"/>
    <col min="3" max="4" width="20" customWidth="1"/>
    <col min="5" max="5" width="23" customWidth="1"/>
    <col min="6" max="6" width="12" customWidth="1"/>
    <col min="7" max="7" width="13" customWidth="1"/>
    <col min="8" max="10" width="18" customWidth="1"/>
    <col min="11" max="11" width="62" customWidth="1"/>
    <col min="12" max="12" width="48" customWidth="1"/>
    <col min="13" max="14" width="18" customWidth="1"/>
    <col min="15" max="15" width="62" customWidth="1"/>
  </cols>
  <sheetData>
    <row r="1" spans="1:15" ht="30" customHeight="1">
      <c r="A1" s="31" t="s">
        <v>182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</row>
    <row r="3" spans="1:15" ht="30" customHeight="1">
      <c r="A3" s="1" t="s">
        <v>111</v>
      </c>
      <c r="B3" s="1" t="s">
        <v>183</v>
      </c>
      <c r="C3" s="1" t="s">
        <v>184</v>
      </c>
      <c r="D3" s="1" t="s">
        <v>185</v>
      </c>
      <c r="E3" s="1" t="s">
        <v>186</v>
      </c>
      <c r="F3" s="1" t="s">
        <v>187</v>
      </c>
      <c r="G3" s="1" t="s">
        <v>188</v>
      </c>
      <c r="H3" s="1" t="s">
        <v>189</v>
      </c>
      <c r="I3" s="1" t="s">
        <v>190</v>
      </c>
      <c r="J3" s="1" t="s">
        <v>191</v>
      </c>
      <c r="K3" s="1" t="s">
        <v>192</v>
      </c>
      <c r="L3" s="1" t="s">
        <v>193</v>
      </c>
      <c r="M3" s="17" t="s">
        <v>194</v>
      </c>
      <c r="N3" s="17" t="s">
        <v>195</v>
      </c>
      <c r="O3" s="17" t="s">
        <v>196</v>
      </c>
    </row>
    <row r="4" spans="1:15" ht="28">
      <c r="A4" s="4" t="s">
        <v>125</v>
      </c>
      <c r="B4" s="4" t="s">
        <v>129</v>
      </c>
      <c r="C4" s="5">
        <v>6074.6</v>
      </c>
      <c r="D4" s="5">
        <v>15155.77</v>
      </c>
      <c r="E4" s="5">
        <v>10117.18</v>
      </c>
      <c r="F4" s="10">
        <f>D4/E4-1</f>
        <v>0.49802316455771267</v>
      </c>
      <c r="G4" s="3"/>
      <c r="H4" s="3"/>
      <c r="I4" s="3"/>
      <c r="J4" s="11"/>
      <c r="K4" s="4" t="s">
        <v>197</v>
      </c>
      <c r="L4" s="4" t="s">
        <v>198</v>
      </c>
      <c r="M4" s="13">
        <v>0.19</v>
      </c>
      <c r="N4" s="4" t="s">
        <v>17</v>
      </c>
      <c r="O4" s="4" t="s">
        <v>199</v>
      </c>
    </row>
    <row r="5" spans="1:15" ht="28">
      <c r="A5" s="4" t="s">
        <v>133</v>
      </c>
      <c r="B5" s="4" t="s">
        <v>129</v>
      </c>
      <c r="C5" s="5">
        <v>52524.59</v>
      </c>
      <c r="D5" s="5">
        <v>78262.89</v>
      </c>
      <c r="E5" s="5">
        <v>44848.37</v>
      </c>
      <c r="F5" s="10">
        <f>D5/E5-1</f>
        <v>0.74505539443239499</v>
      </c>
      <c r="G5" s="3"/>
      <c r="H5" s="3"/>
      <c r="I5" s="3"/>
      <c r="J5" s="11"/>
      <c r="K5" s="4" t="s">
        <v>200</v>
      </c>
      <c r="L5" s="4" t="s">
        <v>198</v>
      </c>
      <c r="M5" s="13">
        <v>2.2200000000000002</v>
      </c>
      <c r="N5" s="4" t="s">
        <v>201</v>
      </c>
      <c r="O5" s="4" t="s">
        <v>202</v>
      </c>
    </row>
    <row r="6" spans="1:15" ht="28">
      <c r="A6" s="4" t="s">
        <v>138</v>
      </c>
      <c r="B6" s="4" t="s">
        <v>129</v>
      </c>
      <c r="C6" s="5">
        <v>13716.01</v>
      </c>
      <c r="D6" s="5">
        <v>27211.51</v>
      </c>
      <c r="E6" s="5">
        <v>21565.41</v>
      </c>
      <c r="F6" s="10">
        <f>D6/E6-1</f>
        <v>0.26181278259954244</v>
      </c>
      <c r="G6" s="3"/>
      <c r="H6" s="3"/>
      <c r="I6" s="3"/>
      <c r="J6" s="11"/>
      <c r="K6" s="4" t="s">
        <v>203</v>
      </c>
      <c r="L6" s="4" t="s">
        <v>198</v>
      </c>
      <c r="M6" s="13">
        <v>1.86</v>
      </c>
      <c r="N6" s="4" t="s">
        <v>201</v>
      </c>
      <c r="O6" s="4" t="s">
        <v>202</v>
      </c>
    </row>
    <row r="7" spans="1:15" ht="28">
      <c r="A7" s="4" t="s">
        <v>143</v>
      </c>
      <c r="B7" s="4" t="s">
        <v>129</v>
      </c>
      <c r="C7" s="5">
        <v>12445.68</v>
      </c>
      <c r="D7" s="5">
        <v>21562.49</v>
      </c>
      <c r="E7" s="5">
        <v>63871.48</v>
      </c>
      <c r="F7" s="10">
        <f>D7/E7-1</f>
        <v>-0.66240816715065942</v>
      </c>
      <c r="G7" s="3"/>
      <c r="H7" s="3"/>
      <c r="I7" s="3"/>
      <c r="J7" s="11"/>
      <c r="K7" s="4" t="s">
        <v>204</v>
      </c>
      <c r="L7" s="4" t="s">
        <v>205</v>
      </c>
      <c r="M7" s="13">
        <v>4.2</v>
      </c>
      <c r="N7" s="4" t="s">
        <v>201</v>
      </c>
      <c r="O7" s="4" t="s">
        <v>202</v>
      </c>
    </row>
    <row r="8" spans="1:15" ht="28">
      <c r="A8" s="4" t="s">
        <v>147</v>
      </c>
      <c r="B8" s="4" t="s">
        <v>150</v>
      </c>
      <c r="C8" s="5">
        <v>4441.68</v>
      </c>
      <c r="D8" s="5">
        <v>14812.34</v>
      </c>
      <c r="E8" s="5">
        <v>14262.37</v>
      </c>
      <c r="F8" s="10">
        <f>D8/E8-1</f>
        <v>3.856091238693149E-2</v>
      </c>
      <c r="G8" s="3"/>
      <c r="H8" s="3"/>
      <c r="I8" s="3"/>
      <c r="J8" s="11"/>
      <c r="K8" s="4" t="s">
        <v>206</v>
      </c>
      <c r="L8" s="4" t="s">
        <v>207</v>
      </c>
      <c r="M8" s="13">
        <v>0.24</v>
      </c>
      <c r="N8" s="4" t="s">
        <v>17</v>
      </c>
      <c r="O8" s="4" t="s">
        <v>208</v>
      </c>
    </row>
    <row r="9" spans="1:15">
      <c r="A9" s="3"/>
      <c r="B9" s="3"/>
      <c r="C9" s="6"/>
      <c r="D9" s="6"/>
      <c r="E9" s="6"/>
      <c r="F9" s="12"/>
      <c r="G9" s="3"/>
      <c r="H9" s="3"/>
      <c r="I9" s="3"/>
      <c r="J9" s="11"/>
      <c r="K9" s="3"/>
      <c r="L9" s="3"/>
      <c r="M9" s="15"/>
      <c r="N9" s="3"/>
      <c r="O9" s="3"/>
    </row>
    <row r="10" spans="1:15">
      <c r="A10" s="3"/>
      <c r="B10" s="3"/>
      <c r="C10" s="6"/>
      <c r="D10" s="6"/>
      <c r="E10" s="6"/>
      <c r="F10" s="12"/>
      <c r="G10" s="3"/>
      <c r="H10" s="3"/>
      <c r="I10" s="3"/>
      <c r="J10" s="11"/>
      <c r="K10" s="3"/>
      <c r="L10" s="3"/>
      <c r="M10" s="15"/>
      <c r="N10" s="3"/>
      <c r="O10" s="3"/>
    </row>
    <row r="11" spans="1:15">
      <c r="A11" s="3"/>
      <c r="B11" s="3"/>
      <c r="C11" s="6"/>
      <c r="D11" s="6"/>
      <c r="E11" s="6"/>
      <c r="F11" s="12"/>
      <c r="G11" s="3"/>
      <c r="H11" s="3"/>
      <c r="I11" s="3"/>
      <c r="J11" s="11"/>
      <c r="K11" s="3"/>
      <c r="L11" s="3"/>
      <c r="M11" s="15"/>
      <c r="N11" s="3"/>
      <c r="O11" s="3"/>
    </row>
    <row r="12" spans="1:15">
      <c r="A12" s="3"/>
      <c r="B12" s="3"/>
      <c r="C12" s="6"/>
      <c r="D12" s="6"/>
      <c r="E12" s="6"/>
      <c r="F12" s="12"/>
      <c r="G12" s="3"/>
      <c r="H12" s="3"/>
      <c r="I12" s="3"/>
      <c r="J12" s="11"/>
      <c r="K12" s="3"/>
      <c r="L12" s="3"/>
      <c r="M12" s="15"/>
      <c r="N12" s="3"/>
      <c r="O12" s="3"/>
    </row>
    <row r="13" spans="1:15">
      <c r="A13" s="3"/>
      <c r="B13" s="3"/>
      <c r="C13" s="6"/>
      <c r="D13" s="6"/>
      <c r="E13" s="6"/>
      <c r="F13" s="12"/>
      <c r="G13" s="3"/>
      <c r="H13" s="3"/>
      <c r="I13" s="3"/>
      <c r="J13" s="11"/>
      <c r="K13" s="3"/>
      <c r="L13" s="3"/>
      <c r="M13" s="15"/>
      <c r="N13" s="3"/>
      <c r="O13" s="3"/>
    </row>
    <row r="14" spans="1:15">
      <c r="A14" s="3"/>
      <c r="B14" s="3"/>
      <c r="C14" s="6"/>
      <c r="D14" s="6"/>
      <c r="E14" s="6"/>
      <c r="F14" s="12"/>
      <c r="G14" s="3"/>
      <c r="H14" s="3"/>
      <c r="I14" s="3"/>
      <c r="J14" s="11"/>
      <c r="K14" s="3"/>
      <c r="L14" s="3"/>
      <c r="M14" s="15"/>
      <c r="N14" s="3"/>
      <c r="O14" s="3"/>
    </row>
    <row r="15" spans="1:15">
      <c r="A15" s="3"/>
      <c r="B15" s="3"/>
      <c r="C15" s="6"/>
      <c r="D15" s="6"/>
      <c r="E15" s="6"/>
      <c r="F15" s="12"/>
      <c r="G15" s="3"/>
      <c r="H15" s="3"/>
      <c r="I15" s="3"/>
      <c r="J15" s="11"/>
      <c r="K15" s="3"/>
      <c r="L15" s="3"/>
      <c r="M15" s="15"/>
      <c r="N15" s="3"/>
      <c r="O15" s="3"/>
    </row>
    <row r="16" spans="1:15">
      <c r="A16" s="3"/>
      <c r="B16" s="3"/>
      <c r="C16" s="6"/>
      <c r="D16" s="6"/>
      <c r="E16" s="6"/>
      <c r="F16" s="12"/>
      <c r="G16" s="3"/>
      <c r="H16" s="3"/>
      <c r="I16" s="3"/>
      <c r="J16" s="11"/>
      <c r="K16" s="3"/>
      <c r="L16" s="3"/>
      <c r="M16" s="15"/>
      <c r="N16" s="3"/>
      <c r="O16" s="3"/>
    </row>
    <row r="17" spans="1:15">
      <c r="A17" s="3"/>
      <c r="B17" s="3"/>
      <c r="C17" s="6"/>
      <c r="D17" s="6"/>
      <c r="E17" s="6"/>
      <c r="F17" s="12"/>
      <c r="G17" s="3"/>
      <c r="H17" s="3"/>
      <c r="I17" s="3"/>
      <c r="J17" s="11"/>
      <c r="K17" s="3"/>
      <c r="L17" s="3"/>
      <c r="M17" s="15"/>
      <c r="N17" s="3"/>
      <c r="O17" s="3"/>
    </row>
    <row r="18" spans="1:15">
      <c r="A18" s="3"/>
      <c r="B18" s="3"/>
      <c r="C18" s="6"/>
      <c r="D18" s="6"/>
      <c r="E18" s="6"/>
      <c r="F18" s="12"/>
      <c r="G18" s="3"/>
      <c r="H18" s="3"/>
      <c r="I18" s="3"/>
      <c r="J18" s="11"/>
      <c r="K18" s="3"/>
      <c r="L18" s="3"/>
      <c r="M18" s="15"/>
      <c r="N18" s="3"/>
      <c r="O18" s="3"/>
    </row>
    <row r="19" spans="1:15">
      <c r="A19" s="3"/>
      <c r="B19" s="3"/>
      <c r="C19" s="6"/>
      <c r="D19" s="6"/>
      <c r="E19" s="6"/>
      <c r="F19" s="12"/>
      <c r="G19" s="3"/>
      <c r="H19" s="3"/>
      <c r="I19" s="3"/>
      <c r="J19" s="11"/>
      <c r="K19" s="3"/>
      <c r="L19" s="3"/>
      <c r="M19" s="15"/>
      <c r="N19" s="3"/>
      <c r="O19" s="3"/>
    </row>
    <row r="20" spans="1:15">
      <c r="A20" s="3"/>
      <c r="B20" s="3"/>
      <c r="C20" s="6"/>
      <c r="D20" s="6"/>
      <c r="E20" s="6"/>
      <c r="F20" s="12"/>
      <c r="G20" s="3"/>
      <c r="H20" s="3"/>
      <c r="I20" s="3"/>
      <c r="J20" s="11"/>
      <c r="K20" s="3"/>
      <c r="L20" s="3"/>
      <c r="M20" s="15"/>
      <c r="N20" s="3"/>
      <c r="O20" s="3"/>
    </row>
    <row r="21" spans="1:15">
      <c r="A21" s="3"/>
      <c r="B21" s="3"/>
      <c r="C21" s="6"/>
      <c r="D21" s="6"/>
      <c r="E21" s="6"/>
      <c r="F21" s="12"/>
      <c r="G21" s="3"/>
      <c r="H21" s="3"/>
      <c r="I21" s="3"/>
      <c r="J21" s="11"/>
      <c r="K21" s="3"/>
      <c r="L21" s="3"/>
      <c r="M21" s="15"/>
      <c r="N21" s="3"/>
      <c r="O21" s="3"/>
    </row>
    <row r="22" spans="1:15">
      <c r="A22" s="3"/>
      <c r="B22" s="3"/>
      <c r="C22" s="6"/>
      <c r="D22" s="6"/>
      <c r="E22" s="6"/>
      <c r="F22" s="12"/>
      <c r="G22" s="3"/>
      <c r="H22" s="3"/>
      <c r="I22" s="3"/>
      <c r="J22" s="11"/>
      <c r="K22" s="3"/>
      <c r="L22" s="3"/>
      <c r="M22" s="15"/>
      <c r="N22" s="3"/>
      <c r="O22" s="3"/>
    </row>
    <row r="23" spans="1:15">
      <c r="A23" s="3"/>
      <c r="B23" s="3"/>
      <c r="C23" s="6"/>
      <c r="D23" s="6"/>
      <c r="E23" s="6"/>
      <c r="F23" s="12"/>
      <c r="G23" s="3"/>
      <c r="H23" s="3"/>
      <c r="I23" s="3"/>
      <c r="J23" s="11"/>
      <c r="K23" s="3"/>
      <c r="L23" s="3"/>
      <c r="M23" s="15"/>
      <c r="N23" s="3"/>
      <c r="O23" s="3"/>
    </row>
    <row r="24" spans="1:15">
      <c r="A24" s="3"/>
      <c r="B24" s="3"/>
      <c r="C24" s="6"/>
      <c r="D24" s="6"/>
      <c r="E24" s="6"/>
      <c r="F24" s="12"/>
      <c r="G24" s="3"/>
      <c r="H24" s="3"/>
      <c r="I24" s="3"/>
      <c r="J24" s="11"/>
      <c r="K24" s="3"/>
      <c r="L24" s="3"/>
      <c r="M24" s="15"/>
      <c r="N24" s="3"/>
      <c r="O24" s="3"/>
    </row>
    <row r="25" spans="1:15">
      <c r="A25" s="3"/>
      <c r="B25" s="3"/>
      <c r="C25" s="6"/>
      <c r="D25" s="6"/>
      <c r="E25" s="6"/>
      <c r="F25" s="12"/>
      <c r="G25" s="3"/>
      <c r="H25" s="3"/>
      <c r="I25" s="3"/>
      <c r="J25" s="11"/>
      <c r="K25" s="3"/>
      <c r="L25" s="3"/>
      <c r="M25" s="15"/>
      <c r="N25" s="3"/>
      <c r="O25" s="3"/>
    </row>
    <row r="26" spans="1:15">
      <c r="A26" s="3"/>
      <c r="B26" s="3"/>
      <c r="C26" s="6"/>
      <c r="D26" s="6"/>
      <c r="E26" s="6"/>
      <c r="F26" s="12"/>
      <c r="G26" s="3"/>
      <c r="H26" s="3"/>
      <c r="I26" s="3"/>
      <c r="J26" s="11"/>
      <c r="K26" s="3"/>
      <c r="L26" s="3"/>
      <c r="M26" s="15"/>
      <c r="N26" s="3"/>
      <c r="O26" s="3"/>
    </row>
    <row r="27" spans="1:15">
      <c r="A27" s="3"/>
      <c r="B27" s="3"/>
      <c r="C27" s="6"/>
      <c r="D27" s="6"/>
      <c r="E27" s="6"/>
      <c r="F27" s="12"/>
      <c r="G27" s="3"/>
      <c r="H27" s="3"/>
      <c r="I27" s="3"/>
      <c r="J27" s="11"/>
      <c r="K27" s="3"/>
      <c r="L27" s="3"/>
      <c r="M27" s="15"/>
      <c r="N27" s="3"/>
      <c r="O27" s="3"/>
    </row>
    <row r="28" spans="1:15">
      <c r="A28" s="3"/>
      <c r="B28" s="3"/>
      <c r="C28" s="6"/>
      <c r="D28" s="6"/>
      <c r="E28" s="6"/>
      <c r="F28" s="12"/>
      <c r="G28" s="3"/>
      <c r="H28" s="3"/>
      <c r="I28" s="3"/>
      <c r="J28" s="11"/>
      <c r="K28" s="3"/>
      <c r="L28" s="3"/>
      <c r="M28" s="15"/>
      <c r="N28" s="3"/>
      <c r="O28" s="3"/>
    </row>
    <row r="29" spans="1:15">
      <c r="A29" s="3"/>
      <c r="B29" s="3"/>
      <c r="C29" s="6"/>
      <c r="D29" s="6"/>
      <c r="E29" s="6"/>
      <c r="F29" s="12"/>
      <c r="G29" s="3"/>
      <c r="H29" s="3"/>
      <c r="I29" s="3"/>
      <c r="J29" s="11"/>
      <c r="K29" s="3"/>
      <c r="L29" s="3"/>
      <c r="M29" s="15"/>
      <c r="N29" s="3"/>
      <c r="O29" s="3"/>
    </row>
    <row r="30" spans="1:15">
      <c r="A30" s="3"/>
      <c r="B30" s="3"/>
      <c r="C30" s="6"/>
      <c r="D30" s="6"/>
      <c r="E30" s="6"/>
      <c r="F30" s="12"/>
      <c r="G30" s="3"/>
      <c r="H30" s="3"/>
      <c r="I30" s="3"/>
      <c r="J30" s="11"/>
      <c r="K30" s="3"/>
      <c r="L30" s="3"/>
      <c r="M30" s="15"/>
      <c r="N30" s="3"/>
      <c r="O30" s="3"/>
    </row>
    <row r="31" spans="1:15">
      <c r="A31" s="3"/>
      <c r="B31" s="3"/>
      <c r="C31" s="6"/>
      <c r="D31" s="6"/>
      <c r="E31" s="6"/>
      <c r="F31" s="12"/>
      <c r="G31" s="3"/>
      <c r="H31" s="3"/>
      <c r="I31" s="3"/>
      <c r="J31" s="11"/>
      <c r="K31" s="3"/>
      <c r="L31" s="3"/>
      <c r="M31" s="15"/>
      <c r="N31" s="3"/>
      <c r="O31" s="3"/>
    </row>
    <row r="32" spans="1:15">
      <c r="A32" s="3"/>
      <c r="B32" s="3"/>
      <c r="C32" s="6"/>
      <c r="D32" s="6"/>
      <c r="E32" s="6"/>
      <c r="F32" s="12"/>
      <c r="G32" s="3"/>
      <c r="H32" s="3"/>
      <c r="I32" s="3"/>
      <c r="J32" s="11"/>
      <c r="K32" s="3"/>
      <c r="L32" s="3"/>
      <c r="M32" s="15"/>
      <c r="N32" s="3"/>
      <c r="O32" s="3"/>
    </row>
    <row r="33" spans="1:15">
      <c r="A33" s="3"/>
      <c r="B33" s="3"/>
      <c r="C33" s="6"/>
      <c r="D33" s="6"/>
      <c r="E33" s="6"/>
      <c r="F33" s="12"/>
      <c r="G33" s="3"/>
      <c r="H33" s="3"/>
      <c r="I33" s="3"/>
      <c r="J33" s="11"/>
      <c r="K33" s="3"/>
      <c r="L33" s="3"/>
      <c r="M33" s="15"/>
      <c r="N33" s="3"/>
      <c r="O33" s="3"/>
    </row>
    <row r="34" spans="1:15">
      <c r="A34" s="3"/>
      <c r="B34" s="3"/>
      <c r="C34" s="6"/>
      <c r="D34" s="6"/>
      <c r="E34" s="6"/>
      <c r="F34" s="12"/>
      <c r="G34" s="3"/>
      <c r="H34" s="3"/>
      <c r="I34" s="3"/>
      <c r="J34" s="11"/>
      <c r="K34" s="3"/>
      <c r="L34" s="3"/>
      <c r="M34" s="15"/>
      <c r="N34" s="3"/>
      <c r="O34" s="3"/>
    </row>
    <row r="35" spans="1:15">
      <c r="A35" s="3"/>
      <c r="B35" s="3"/>
      <c r="C35" s="6"/>
      <c r="D35" s="6"/>
      <c r="E35" s="6"/>
      <c r="F35" s="12"/>
      <c r="G35" s="3"/>
      <c r="H35" s="3"/>
      <c r="I35" s="3"/>
      <c r="J35" s="11"/>
      <c r="K35" s="3"/>
      <c r="L35" s="3"/>
      <c r="M35" s="15"/>
      <c r="N35" s="3"/>
      <c r="O35" s="3"/>
    </row>
    <row r="36" spans="1:15">
      <c r="A36" s="3"/>
      <c r="B36" s="3"/>
      <c r="C36" s="6"/>
      <c r="D36" s="6"/>
      <c r="E36" s="6"/>
      <c r="F36" s="12"/>
      <c r="G36" s="3"/>
      <c r="H36" s="3"/>
      <c r="I36" s="3"/>
      <c r="J36" s="11"/>
      <c r="K36" s="3"/>
      <c r="L36" s="3"/>
      <c r="M36" s="15"/>
      <c r="N36" s="3"/>
      <c r="O36" s="3"/>
    </row>
    <row r="37" spans="1:15">
      <c r="A37" s="3"/>
      <c r="B37" s="3"/>
      <c r="C37" s="6"/>
      <c r="D37" s="6"/>
      <c r="E37" s="6"/>
      <c r="F37" s="12"/>
      <c r="G37" s="3"/>
      <c r="H37" s="3"/>
      <c r="I37" s="3"/>
      <c r="J37" s="11"/>
      <c r="K37" s="3"/>
      <c r="L37" s="3"/>
      <c r="M37" s="15"/>
      <c r="N37" s="3"/>
      <c r="O37" s="3"/>
    </row>
    <row r="38" spans="1:15">
      <c r="A38" s="3"/>
      <c r="B38" s="3"/>
      <c r="C38" s="6"/>
      <c r="D38" s="6"/>
      <c r="E38" s="6"/>
      <c r="F38" s="12"/>
      <c r="G38" s="3"/>
      <c r="H38" s="3"/>
      <c r="I38" s="3"/>
      <c r="J38" s="11"/>
      <c r="K38" s="3"/>
      <c r="L38" s="3"/>
      <c r="M38" s="15"/>
      <c r="N38" s="3"/>
      <c r="O38" s="3"/>
    </row>
    <row r="39" spans="1:15">
      <c r="A39" s="3"/>
      <c r="B39" s="3"/>
      <c r="C39" s="6"/>
      <c r="D39" s="6"/>
      <c r="E39" s="6"/>
      <c r="F39" s="12"/>
      <c r="G39" s="3"/>
      <c r="H39" s="3"/>
      <c r="I39" s="3"/>
      <c r="J39" s="11"/>
      <c r="K39" s="3"/>
      <c r="L39" s="3"/>
      <c r="M39" s="15"/>
      <c r="N39" s="3"/>
      <c r="O39" s="3"/>
    </row>
    <row r="40" spans="1:15">
      <c r="A40" s="3"/>
      <c r="B40" s="3"/>
      <c r="C40" s="6"/>
      <c r="D40" s="6"/>
      <c r="E40" s="6"/>
      <c r="F40" s="12"/>
      <c r="G40" s="3"/>
      <c r="H40" s="3"/>
      <c r="I40" s="3"/>
      <c r="J40" s="11"/>
      <c r="K40" s="3"/>
      <c r="L40" s="3"/>
      <c r="M40" s="15"/>
      <c r="N40" s="3"/>
      <c r="O40" s="3"/>
    </row>
    <row r="41" spans="1:15">
      <c r="A41" s="3"/>
      <c r="B41" s="3"/>
      <c r="C41" s="6"/>
      <c r="D41" s="6"/>
      <c r="E41" s="6"/>
      <c r="F41" s="12"/>
      <c r="G41" s="3"/>
      <c r="H41" s="3"/>
      <c r="I41" s="3"/>
      <c r="J41" s="11"/>
      <c r="K41" s="3"/>
      <c r="L41" s="3"/>
      <c r="M41" s="15"/>
      <c r="N41" s="3"/>
      <c r="O41" s="3"/>
    </row>
    <row r="42" spans="1:15">
      <c r="A42" s="3"/>
      <c r="B42" s="3"/>
      <c r="C42" s="6"/>
      <c r="D42" s="6"/>
      <c r="E42" s="6"/>
      <c r="F42" s="12"/>
      <c r="G42" s="3"/>
      <c r="H42" s="3"/>
      <c r="I42" s="3"/>
      <c r="J42" s="11"/>
      <c r="K42" s="3"/>
      <c r="L42" s="3"/>
      <c r="M42" s="15"/>
      <c r="N42" s="3"/>
      <c r="O42" s="3"/>
    </row>
    <row r="43" spans="1:15">
      <c r="A43" s="3"/>
      <c r="B43" s="3"/>
      <c r="C43" s="6"/>
      <c r="D43" s="6"/>
      <c r="E43" s="6"/>
      <c r="F43" s="12"/>
      <c r="G43" s="3"/>
      <c r="H43" s="3"/>
      <c r="I43" s="3"/>
      <c r="J43" s="11"/>
      <c r="K43" s="3"/>
      <c r="L43" s="3"/>
      <c r="M43" s="15"/>
      <c r="N43" s="3"/>
      <c r="O43" s="3"/>
    </row>
    <row r="44" spans="1:15">
      <c r="A44" s="3"/>
      <c r="B44" s="3"/>
      <c r="C44" s="6"/>
      <c r="D44" s="6"/>
      <c r="E44" s="6"/>
      <c r="F44" s="12"/>
      <c r="G44" s="3"/>
      <c r="H44" s="3"/>
      <c r="I44" s="3"/>
      <c r="J44" s="11"/>
      <c r="K44" s="3"/>
      <c r="L44" s="3"/>
      <c r="M44" s="15"/>
      <c r="N44" s="3"/>
      <c r="O44" s="3"/>
    </row>
    <row r="45" spans="1:15">
      <c r="A45" s="3"/>
      <c r="B45" s="3"/>
      <c r="C45" s="6"/>
      <c r="D45" s="6"/>
      <c r="E45" s="6"/>
      <c r="F45" s="12"/>
      <c r="G45" s="3"/>
      <c r="H45" s="3"/>
      <c r="I45" s="3"/>
      <c r="J45" s="11"/>
      <c r="K45" s="3"/>
      <c r="L45" s="3"/>
      <c r="M45" s="15"/>
      <c r="N45" s="3"/>
      <c r="O45" s="3"/>
    </row>
    <row r="46" spans="1:15">
      <c r="A46" s="3"/>
      <c r="B46" s="3"/>
      <c r="C46" s="6"/>
      <c r="D46" s="6"/>
      <c r="E46" s="6"/>
      <c r="F46" s="12"/>
      <c r="G46" s="3"/>
      <c r="H46" s="3"/>
      <c r="I46" s="3"/>
      <c r="J46" s="11"/>
      <c r="K46" s="3"/>
      <c r="L46" s="3"/>
      <c r="M46" s="15"/>
      <c r="N46" s="3"/>
      <c r="O46" s="3"/>
    </row>
    <row r="47" spans="1:15">
      <c r="A47" s="3"/>
      <c r="B47" s="3"/>
      <c r="C47" s="6"/>
      <c r="D47" s="6"/>
      <c r="E47" s="6"/>
      <c r="F47" s="12"/>
      <c r="G47" s="3"/>
      <c r="H47" s="3"/>
      <c r="I47" s="3"/>
      <c r="J47" s="11"/>
      <c r="K47" s="3"/>
      <c r="L47" s="3"/>
      <c r="M47" s="15"/>
      <c r="N47" s="3"/>
      <c r="O47" s="3"/>
    </row>
    <row r="48" spans="1:15">
      <c r="A48" s="3"/>
      <c r="B48" s="3"/>
      <c r="C48" s="6"/>
      <c r="D48" s="6"/>
      <c r="E48" s="6"/>
      <c r="F48" s="12"/>
      <c r="G48" s="3"/>
      <c r="H48" s="3"/>
      <c r="I48" s="3"/>
      <c r="J48" s="11"/>
      <c r="K48" s="3"/>
      <c r="L48" s="3"/>
      <c r="M48" s="15"/>
      <c r="N48" s="3"/>
      <c r="O48" s="3"/>
    </row>
    <row r="49" spans="1:15">
      <c r="A49" s="3"/>
      <c r="B49" s="3"/>
      <c r="C49" s="6"/>
      <c r="D49" s="6"/>
      <c r="E49" s="6"/>
      <c r="F49" s="12"/>
      <c r="G49" s="3"/>
      <c r="H49" s="3"/>
      <c r="I49" s="3"/>
      <c r="J49" s="11"/>
      <c r="K49" s="3"/>
      <c r="L49" s="3"/>
      <c r="M49" s="15"/>
      <c r="N49" s="3"/>
      <c r="O49" s="3"/>
    </row>
    <row r="50" spans="1:15">
      <c r="A50" s="3"/>
      <c r="B50" s="3"/>
      <c r="C50" s="6"/>
      <c r="D50" s="6"/>
      <c r="E50" s="6"/>
      <c r="F50" s="12"/>
      <c r="G50" s="3"/>
      <c r="H50" s="3"/>
      <c r="I50" s="3"/>
      <c r="J50" s="11"/>
      <c r="K50" s="3"/>
      <c r="L50" s="3"/>
      <c r="M50" s="15"/>
      <c r="N50" s="3"/>
      <c r="O50" s="3"/>
    </row>
    <row r="51" spans="1:15">
      <c r="A51" s="3"/>
      <c r="B51" s="3"/>
      <c r="C51" s="6"/>
      <c r="D51" s="6"/>
      <c r="E51" s="6"/>
      <c r="F51" s="12"/>
      <c r="G51" s="3"/>
      <c r="H51" s="3"/>
      <c r="I51" s="3"/>
      <c r="J51" s="11"/>
      <c r="K51" s="3"/>
      <c r="L51" s="3"/>
      <c r="M51" s="15"/>
      <c r="N51" s="3"/>
      <c r="O51" s="3"/>
    </row>
    <row r="52" spans="1:15">
      <c r="A52" s="3"/>
      <c r="B52" s="3"/>
      <c r="C52" s="6"/>
      <c r="D52" s="6"/>
      <c r="E52" s="6"/>
      <c r="F52" s="12"/>
      <c r="G52" s="3"/>
      <c r="H52" s="3"/>
      <c r="I52" s="3"/>
      <c r="J52" s="11"/>
      <c r="K52" s="3"/>
      <c r="L52" s="3"/>
      <c r="M52" s="15"/>
      <c r="N52" s="3"/>
      <c r="O52" s="3"/>
    </row>
    <row r="53" spans="1:15">
      <c r="A53" s="3"/>
      <c r="B53" s="3"/>
      <c r="C53" s="6"/>
      <c r="D53" s="6"/>
      <c r="E53" s="6"/>
      <c r="F53" s="12"/>
      <c r="G53" s="3"/>
      <c r="H53" s="3"/>
      <c r="I53" s="3"/>
      <c r="J53" s="11"/>
      <c r="K53" s="3"/>
      <c r="L53" s="3"/>
      <c r="M53" s="15"/>
      <c r="N53" s="3"/>
      <c r="O53" s="3"/>
    </row>
    <row r="54" spans="1:15">
      <c r="A54" s="3"/>
      <c r="B54" s="3"/>
      <c r="C54" s="6"/>
      <c r="D54" s="6"/>
      <c r="E54" s="6"/>
      <c r="F54" s="12"/>
      <c r="G54" s="3"/>
      <c r="H54" s="3"/>
      <c r="I54" s="3"/>
      <c r="J54" s="11"/>
      <c r="K54" s="3"/>
      <c r="L54" s="3"/>
      <c r="M54" s="15"/>
      <c r="N54" s="3"/>
      <c r="O54" s="3"/>
    </row>
    <row r="55" spans="1:15">
      <c r="A55" s="3"/>
      <c r="B55" s="3"/>
      <c r="C55" s="6"/>
      <c r="D55" s="6"/>
      <c r="E55" s="6"/>
      <c r="F55" s="12"/>
      <c r="G55" s="3"/>
      <c r="H55" s="3"/>
      <c r="I55" s="3"/>
      <c r="J55" s="11"/>
      <c r="K55" s="3"/>
      <c r="L55" s="3"/>
      <c r="M55" s="15"/>
      <c r="N55" s="3"/>
      <c r="O55" s="3"/>
    </row>
    <row r="56" spans="1:15">
      <c r="A56" s="3"/>
      <c r="B56" s="3"/>
      <c r="C56" s="6"/>
      <c r="D56" s="6"/>
      <c r="E56" s="6"/>
      <c r="F56" s="12"/>
      <c r="G56" s="3"/>
      <c r="H56" s="3"/>
      <c r="I56" s="3"/>
      <c r="J56" s="11"/>
      <c r="K56" s="3"/>
      <c r="L56" s="3"/>
      <c r="M56" s="15"/>
      <c r="N56" s="3"/>
      <c r="O56" s="3"/>
    </row>
    <row r="57" spans="1:15">
      <c r="A57" s="3"/>
      <c r="B57" s="3"/>
      <c r="C57" s="6"/>
      <c r="D57" s="6"/>
      <c r="E57" s="6"/>
      <c r="F57" s="12"/>
      <c r="G57" s="3"/>
      <c r="H57" s="3"/>
      <c r="I57" s="3"/>
      <c r="J57" s="11"/>
      <c r="K57" s="3"/>
      <c r="L57" s="3"/>
      <c r="M57" s="15"/>
      <c r="N57" s="3"/>
      <c r="O57" s="3"/>
    </row>
    <row r="58" spans="1:15">
      <c r="A58" s="3"/>
      <c r="B58" s="3"/>
      <c r="C58" s="6"/>
      <c r="D58" s="6"/>
      <c r="E58" s="6"/>
      <c r="F58" s="12"/>
      <c r="G58" s="3"/>
      <c r="H58" s="3"/>
      <c r="I58" s="3"/>
      <c r="J58" s="11"/>
      <c r="K58" s="3"/>
      <c r="L58" s="3"/>
      <c r="M58" s="15"/>
      <c r="N58" s="3"/>
      <c r="O58" s="3"/>
    </row>
    <row r="59" spans="1:15">
      <c r="A59" s="3"/>
      <c r="B59" s="3"/>
      <c r="C59" s="6"/>
      <c r="D59" s="6"/>
      <c r="E59" s="6"/>
      <c r="F59" s="12"/>
      <c r="G59" s="3"/>
      <c r="H59" s="3"/>
      <c r="I59" s="3"/>
      <c r="J59" s="11"/>
      <c r="K59" s="3"/>
      <c r="L59" s="3"/>
      <c r="M59" s="15"/>
      <c r="N59" s="3"/>
      <c r="O59" s="3"/>
    </row>
    <row r="60" spans="1:15">
      <c r="A60" s="3"/>
      <c r="B60" s="3"/>
      <c r="C60" s="6"/>
      <c r="D60" s="6"/>
      <c r="E60" s="6"/>
      <c r="F60" s="12"/>
      <c r="G60" s="3"/>
      <c r="H60" s="3"/>
      <c r="I60" s="3"/>
      <c r="J60" s="11"/>
      <c r="K60" s="3"/>
      <c r="L60" s="3"/>
      <c r="M60" s="15"/>
      <c r="N60" s="3"/>
      <c r="O60" s="3"/>
    </row>
    <row r="61" spans="1:15">
      <c r="A61" s="3"/>
      <c r="B61" s="3"/>
      <c r="C61" s="6"/>
      <c r="D61" s="6"/>
      <c r="E61" s="6"/>
      <c r="F61" s="12"/>
      <c r="G61" s="3"/>
      <c r="H61" s="3"/>
      <c r="I61" s="3"/>
      <c r="J61" s="11"/>
      <c r="K61" s="3"/>
      <c r="L61" s="3"/>
      <c r="M61" s="15"/>
      <c r="N61" s="3"/>
      <c r="O61" s="3"/>
    </row>
    <row r="62" spans="1:15">
      <c r="A62" s="3"/>
      <c r="B62" s="3"/>
      <c r="C62" s="6"/>
      <c r="D62" s="6"/>
      <c r="E62" s="6"/>
      <c r="F62" s="12"/>
      <c r="G62" s="3"/>
      <c r="H62" s="3"/>
      <c r="I62" s="3"/>
      <c r="J62" s="11"/>
      <c r="K62" s="3"/>
      <c r="L62" s="3"/>
      <c r="M62" s="15"/>
      <c r="N62" s="3"/>
      <c r="O62" s="3"/>
    </row>
    <row r="63" spans="1:15">
      <c r="A63" s="3"/>
      <c r="B63" s="3"/>
      <c r="C63" s="6"/>
      <c r="D63" s="6"/>
      <c r="E63" s="6"/>
      <c r="F63" s="12"/>
      <c r="G63" s="3"/>
      <c r="H63" s="3"/>
      <c r="I63" s="3"/>
      <c r="J63" s="11"/>
      <c r="K63" s="3"/>
      <c r="L63" s="3"/>
      <c r="M63" s="15"/>
      <c r="N63" s="3"/>
      <c r="O63" s="3"/>
    </row>
    <row r="64" spans="1:15">
      <c r="A64" s="3"/>
      <c r="B64" s="3"/>
      <c r="C64" s="6"/>
      <c r="D64" s="6"/>
      <c r="E64" s="6"/>
      <c r="F64" s="12"/>
      <c r="G64" s="3"/>
      <c r="H64" s="3"/>
      <c r="I64" s="3"/>
      <c r="J64" s="11"/>
      <c r="K64" s="3"/>
      <c r="L64" s="3"/>
      <c r="M64" s="15"/>
      <c r="N64" s="3"/>
      <c r="O64" s="3"/>
    </row>
    <row r="65" spans="1:15">
      <c r="A65" s="3"/>
      <c r="B65" s="3"/>
      <c r="C65" s="6"/>
      <c r="D65" s="6"/>
      <c r="E65" s="6"/>
      <c r="F65" s="12"/>
      <c r="G65" s="3"/>
      <c r="H65" s="3"/>
      <c r="I65" s="3"/>
      <c r="J65" s="11"/>
      <c r="K65" s="3"/>
      <c r="L65" s="3"/>
      <c r="M65" s="15"/>
      <c r="N65" s="3"/>
      <c r="O65" s="3"/>
    </row>
    <row r="66" spans="1:15">
      <c r="A66" s="3"/>
      <c r="B66" s="3"/>
      <c r="C66" s="6"/>
      <c r="D66" s="6"/>
      <c r="E66" s="6"/>
      <c r="F66" s="12"/>
      <c r="G66" s="3"/>
      <c r="H66" s="3"/>
      <c r="I66" s="3"/>
      <c r="J66" s="11"/>
      <c r="K66" s="3"/>
      <c r="L66" s="3"/>
      <c r="M66" s="15"/>
      <c r="N66" s="3"/>
      <c r="O66" s="3"/>
    </row>
    <row r="67" spans="1:15">
      <c r="A67" s="3"/>
      <c r="B67" s="3"/>
      <c r="C67" s="6"/>
      <c r="D67" s="6"/>
      <c r="E67" s="6"/>
      <c r="F67" s="12"/>
      <c r="G67" s="3"/>
      <c r="H67" s="3"/>
      <c r="I67" s="3"/>
      <c r="J67" s="11"/>
      <c r="K67" s="3"/>
      <c r="L67" s="3"/>
      <c r="M67" s="15"/>
      <c r="N67" s="3"/>
      <c r="O67" s="3"/>
    </row>
    <row r="68" spans="1:15">
      <c r="A68" s="3"/>
      <c r="B68" s="3"/>
      <c r="C68" s="6"/>
      <c r="D68" s="6"/>
      <c r="E68" s="6"/>
      <c r="F68" s="12"/>
      <c r="G68" s="3"/>
      <c r="H68" s="3"/>
      <c r="I68" s="3"/>
      <c r="J68" s="11"/>
      <c r="K68" s="3"/>
      <c r="L68" s="3"/>
      <c r="M68" s="15"/>
      <c r="N68" s="3"/>
      <c r="O68" s="3"/>
    </row>
    <row r="69" spans="1:15">
      <c r="A69" s="3"/>
      <c r="B69" s="3"/>
      <c r="C69" s="6"/>
      <c r="D69" s="6"/>
      <c r="E69" s="6"/>
      <c r="F69" s="12"/>
      <c r="G69" s="3"/>
      <c r="H69" s="3"/>
      <c r="I69" s="3"/>
      <c r="J69" s="11"/>
      <c r="K69" s="3"/>
      <c r="L69" s="3"/>
      <c r="M69" s="15"/>
      <c r="N69" s="3"/>
      <c r="O69" s="3"/>
    </row>
    <row r="70" spans="1:15">
      <c r="A70" s="3"/>
      <c r="B70" s="3"/>
      <c r="C70" s="6"/>
      <c r="D70" s="6"/>
      <c r="E70" s="6"/>
      <c r="F70" s="12"/>
      <c r="G70" s="3"/>
      <c r="H70" s="3"/>
      <c r="I70" s="3"/>
      <c r="J70" s="11"/>
      <c r="K70" s="3"/>
      <c r="L70" s="3"/>
      <c r="M70" s="15"/>
      <c r="N70" s="3"/>
      <c r="O70" s="3"/>
    </row>
    <row r="71" spans="1:15">
      <c r="A71" s="3"/>
      <c r="B71" s="3"/>
      <c r="C71" s="6"/>
      <c r="D71" s="6"/>
      <c r="E71" s="6"/>
      <c r="F71" s="12"/>
      <c r="G71" s="3"/>
      <c r="H71" s="3"/>
      <c r="I71" s="3"/>
      <c r="J71" s="11"/>
      <c r="K71" s="3"/>
      <c r="L71" s="3"/>
      <c r="M71" s="15"/>
      <c r="N71" s="3"/>
      <c r="O71" s="3"/>
    </row>
    <row r="72" spans="1:15">
      <c r="A72" s="3"/>
      <c r="B72" s="3"/>
      <c r="C72" s="6"/>
      <c r="D72" s="6"/>
      <c r="E72" s="6"/>
      <c r="F72" s="12"/>
      <c r="G72" s="3"/>
      <c r="H72" s="3"/>
      <c r="I72" s="3"/>
      <c r="J72" s="11"/>
      <c r="K72" s="3"/>
      <c r="L72" s="3"/>
      <c r="M72" s="15"/>
      <c r="N72" s="3"/>
      <c r="O72" s="3"/>
    </row>
    <row r="73" spans="1:15">
      <c r="A73" s="3"/>
      <c r="B73" s="3"/>
      <c r="C73" s="6"/>
      <c r="D73" s="6"/>
      <c r="E73" s="6"/>
      <c r="F73" s="12"/>
      <c r="G73" s="3"/>
      <c r="H73" s="3"/>
      <c r="I73" s="3"/>
      <c r="J73" s="11"/>
      <c r="K73" s="3"/>
      <c r="L73" s="3"/>
      <c r="M73" s="15"/>
      <c r="N73" s="3"/>
      <c r="O73" s="3"/>
    </row>
    <row r="74" spans="1:15">
      <c r="A74" s="3"/>
      <c r="B74" s="3"/>
      <c r="C74" s="6"/>
      <c r="D74" s="6"/>
      <c r="E74" s="6"/>
      <c r="F74" s="12"/>
      <c r="G74" s="3"/>
      <c r="H74" s="3"/>
      <c r="I74" s="3"/>
      <c r="J74" s="11"/>
      <c r="K74" s="3"/>
      <c r="L74" s="3"/>
      <c r="M74" s="15"/>
      <c r="N74" s="3"/>
      <c r="O74" s="3"/>
    </row>
    <row r="75" spans="1:15">
      <c r="A75" s="3"/>
      <c r="B75" s="3"/>
      <c r="C75" s="6"/>
      <c r="D75" s="6"/>
      <c r="E75" s="6"/>
      <c r="F75" s="12"/>
      <c r="G75" s="3"/>
      <c r="H75" s="3"/>
      <c r="I75" s="3"/>
      <c r="J75" s="11"/>
      <c r="K75" s="3"/>
      <c r="L75" s="3"/>
      <c r="M75" s="15"/>
      <c r="N75" s="3"/>
      <c r="O75" s="3"/>
    </row>
    <row r="76" spans="1:15">
      <c r="A76" s="3"/>
      <c r="B76" s="3"/>
      <c r="C76" s="6"/>
      <c r="D76" s="6"/>
      <c r="E76" s="6"/>
      <c r="F76" s="12"/>
      <c r="G76" s="3"/>
      <c r="H76" s="3"/>
      <c r="I76" s="3"/>
      <c r="J76" s="11"/>
      <c r="K76" s="3"/>
      <c r="L76" s="3"/>
      <c r="M76" s="15"/>
      <c r="N76" s="3"/>
      <c r="O76" s="3"/>
    </row>
    <row r="77" spans="1:15">
      <c r="A77" s="3"/>
      <c r="B77" s="3"/>
      <c r="C77" s="6"/>
      <c r="D77" s="6"/>
      <c r="E77" s="6"/>
      <c r="F77" s="12"/>
      <c r="G77" s="3"/>
      <c r="H77" s="3"/>
      <c r="I77" s="3"/>
      <c r="J77" s="11"/>
      <c r="K77" s="3"/>
      <c r="L77" s="3"/>
      <c r="M77" s="15"/>
      <c r="N77" s="3"/>
      <c r="O77" s="3"/>
    </row>
    <row r="78" spans="1:15">
      <c r="A78" s="3"/>
      <c r="B78" s="3"/>
      <c r="C78" s="6"/>
      <c r="D78" s="6"/>
      <c r="E78" s="6"/>
      <c r="F78" s="12"/>
      <c r="G78" s="3"/>
      <c r="H78" s="3"/>
      <c r="I78" s="3"/>
      <c r="J78" s="11"/>
      <c r="K78" s="3"/>
      <c r="L78" s="3"/>
      <c r="M78" s="15"/>
      <c r="N78" s="3"/>
      <c r="O78" s="3"/>
    </row>
    <row r="79" spans="1:15">
      <c r="A79" s="3"/>
      <c r="B79" s="3"/>
      <c r="C79" s="6"/>
      <c r="D79" s="6"/>
      <c r="E79" s="6"/>
      <c r="F79" s="12"/>
      <c r="G79" s="3"/>
      <c r="H79" s="3"/>
      <c r="I79" s="3"/>
      <c r="J79" s="11"/>
      <c r="K79" s="3"/>
      <c r="L79" s="3"/>
      <c r="M79" s="15"/>
      <c r="N79" s="3"/>
      <c r="O79" s="3"/>
    </row>
    <row r="80" spans="1:15">
      <c r="A80" s="3"/>
      <c r="B80" s="3"/>
      <c r="C80" s="6"/>
      <c r="D80" s="6"/>
      <c r="E80" s="6"/>
      <c r="F80" s="12"/>
      <c r="G80" s="3"/>
      <c r="H80" s="3"/>
      <c r="I80" s="3"/>
      <c r="J80" s="11"/>
      <c r="K80" s="3"/>
      <c r="L80" s="3"/>
      <c r="M80" s="15"/>
      <c r="N80" s="3"/>
      <c r="O80" s="3"/>
    </row>
    <row r="81" spans="1:15">
      <c r="A81" s="3"/>
      <c r="B81" s="3"/>
      <c r="C81" s="6"/>
      <c r="D81" s="6"/>
      <c r="E81" s="6"/>
      <c r="F81" s="12"/>
      <c r="G81" s="3"/>
      <c r="H81" s="3"/>
      <c r="I81" s="3"/>
      <c r="J81" s="11"/>
      <c r="K81" s="3"/>
      <c r="L81" s="3"/>
      <c r="M81" s="15"/>
      <c r="N81" s="3"/>
      <c r="O81" s="3"/>
    </row>
    <row r="82" spans="1:15">
      <c r="A82" s="3"/>
      <c r="B82" s="3"/>
      <c r="C82" s="6"/>
      <c r="D82" s="6"/>
      <c r="E82" s="6"/>
      <c r="F82" s="12"/>
      <c r="G82" s="3"/>
      <c r="H82" s="3"/>
      <c r="I82" s="3"/>
      <c r="J82" s="11"/>
      <c r="K82" s="3"/>
      <c r="L82" s="3"/>
      <c r="M82" s="15"/>
      <c r="N82" s="3"/>
      <c r="O82" s="3"/>
    </row>
    <row r="83" spans="1:15">
      <c r="A83" s="3"/>
      <c r="B83" s="3"/>
      <c r="C83" s="6"/>
      <c r="D83" s="6"/>
      <c r="E83" s="6"/>
      <c r="F83" s="12"/>
      <c r="G83" s="3"/>
      <c r="H83" s="3"/>
      <c r="I83" s="3"/>
      <c r="J83" s="11"/>
      <c r="K83" s="3"/>
      <c r="L83" s="3"/>
      <c r="M83" s="15"/>
      <c r="N83" s="3"/>
      <c r="O83" s="3"/>
    </row>
    <row r="84" spans="1:15">
      <c r="A84" s="3"/>
      <c r="B84" s="3"/>
      <c r="C84" s="6"/>
      <c r="D84" s="6"/>
      <c r="E84" s="6"/>
      <c r="F84" s="12"/>
      <c r="G84" s="3"/>
      <c r="H84" s="3"/>
      <c r="I84" s="3"/>
      <c r="J84" s="11"/>
      <c r="K84" s="3"/>
      <c r="L84" s="3"/>
      <c r="M84" s="15"/>
      <c r="N84" s="3"/>
      <c r="O84" s="3"/>
    </row>
    <row r="85" spans="1:15">
      <c r="A85" s="3"/>
      <c r="B85" s="3"/>
      <c r="C85" s="6"/>
      <c r="D85" s="6"/>
      <c r="E85" s="6"/>
      <c r="F85" s="12"/>
      <c r="G85" s="3"/>
      <c r="H85" s="3"/>
      <c r="I85" s="3"/>
      <c r="J85" s="11"/>
      <c r="K85" s="3"/>
      <c r="L85" s="3"/>
      <c r="M85" s="15"/>
      <c r="N85" s="3"/>
      <c r="O85" s="3"/>
    </row>
    <row r="86" spans="1:15">
      <c r="A86" s="3"/>
      <c r="B86" s="3"/>
      <c r="C86" s="6"/>
      <c r="D86" s="6"/>
      <c r="E86" s="6"/>
      <c r="F86" s="12"/>
      <c r="G86" s="3"/>
      <c r="H86" s="3"/>
      <c r="I86" s="3"/>
      <c r="J86" s="11"/>
      <c r="K86" s="3"/>
      <c r="L86" s="3"/>
      <c r="M86" s="15"/>
      <c r="N86" s="3"/>
      <c r="O86" s="3"/>
    </row>
    <row r="87" spans="1:15">
      <c r="A87" s="3"/>
      <c r="B87" s="3"/>
      <c r="C87" s="6"/>
      <c r="D87" s="6"/>
      <c r="E87" s="6"/>
      <c r="F87" s="12"/>
      <c r="G87" s="3"/>
      <c r="H87" s="3"/>
      <c r="I87" s="3"/>
      <c r="J87" s="11"/>
      <c r="K87" s="3"/>
      <c r="L87" s="3"/>
      <c r="M87" s="15"/>
      <c r="N87" s="3"/>
      <c r="O87" s="3"/>
    </row>
    <row r="88" spans="1:15">
      <c r="A88" s="3"/>
      <c r="B88" s="3"/>
      <c r="C88" s="6"/>
      <c r="D88" s="6"/>
      <c r="E88" s="6"/>
      <c r="F88" s="12"/>
      <c r="G88" s="3"/>
      <c r="H88" s="3"/>
      <c r="I88" s="3"/>
      <c r="J88" s="11"/>
      <c r="K88" s="3"/>
      <c r="L88" s="3"/>
      <c r="M88" s="15"/>
      <c r="N88" s="3"/>
      <c r="O88" s="3"/>
    </row>
    <row r="89" spans="1:15">
      <c r="A89" s="3"/>
      <c r="B89" s="3"/>
      <c r="C89" s="6"/>
      <c r="D89" s="6"/>
      <c r="E89" s="6"/>
      <c r="F89" s="12"/>
      <c r="G89" s="3"/>
      <c r="H89" s="3"/>
      <c r="I89" s="3"/>
      <c r="J89" s="11"/>
      <c r="K89" s="3"/>
      <c r="L89" s="3"/>
      <c r="M89" s="15"/>
      <c r="N89" s="3"/>
      <c r="O89" s="3"/>
    </row>
    <row r="90" spans="1:15">
      <c r="A90" s="3"/>
      <c r="B90" s="3"/>
      <c r="C90" s="6"/>
      <c r="D90" s="6"/>
      <c r="E90" s="6"/>
      <c r="F90" s="12"/>
      <c r="G90" s="3"/>
      <c r="H90" s="3"/>
      <c r="I90" s="3"/>
      <c r="J90" s="11"/>
      <c r="K90" s="3"/>
      <c r="L90" s="3"/>
      <c r="M90" s="15"/>
      <c r="N90" s="3"/>
      <c r="O90" s="3"/>
    </row>
    <row r="91" spans="1:15">
      <c r="A91" s="3"/>
      <c r="B91" s="3"/>
      <c r="C91" s="6"/>
      <c r="D91" s="6"/>
      <c r="E91" s="6"/>
      <c r="F91" s="12"/>
      <c r="G91" s="3"/>
      <c r="H91" s="3"/>
      <c r="I91" s="3"/>
      <c r="J91" s="11"/>
      <c r="K91" s="3"/>
      <c r="L91" s="3"/>
      <c r="M91" s="15"/>
      <c r="N91" s="3"/>
      <c r="O91" s="3"/>
    </row>
    <row r="92" spans="1:15">
      <c r="A92" s="3"/>
      <c r="B92" s="3"/>
      <c r="C92" s="6"/>
      <c r="D92" s="6"/>
      <c r="E92" s="6"/>
      <c r="F92" s="12"/>
      <c r="G92" s="3"/>
      <c r="H92" s="3"/>
      <c r="I92" s="3"/>
      <c r="J92" s="11"/>
      <c r="K92" s="3"/>
      <c r="L92" s="3"/>
      <c r="M92" s="15"/>
      <c r="N92" s="3"/>
      <c r="O92" s="3"/>
    </row>
    <row r="93" spans="1:15">
      <c r="A93" s="3"/>
      <c r="B93" s="3"/>
      <c r="C93" s="6"/>
      <c r="D93" s="6"/>
      <c r="E93" s="6"/>
      <c r="F93" s="12"/>
      <c r="G93" s="3"/>
      <c r="H93" s="3"/>
      <c r="I93" s="3"/>
      <c r="J93" s="11"/>
      <c r="K93" s="3"/>
      <c r="L93" s="3"/>
      <c r="M93" s="15"/>
      <c r="N93" s="3"/>
      <c r="O93" s="3"/>
    </row>
    <row r="94" spans="1:15">
      <c r="A94" s="3"/>
      <c r="B94" s="3"/>
      <c r="C94" s="6"/>
      <c r="D94" s="6"/>
      <c r="E94" s="6"/>
      <c r="F94" s="12"/>
      <c r="G94" s="3"/>
      <c r="H94" s="3"/>
      <c r="I94" s="3"/>
      <c r="J94" s="11"/>
      <c r="K94" s="3"/>
      <c r="L94" s="3"/>
      <c r="M94" s="15"/>
      <c r="N94" s="3"/>
      <c r="O94" s="3"/>
    </row>
    <row r="95" spans="1:15">
      <c r="A95" s="3"/>
      <c r="B95" s="3"/>
      <c r="C95" s="6"/>
      <c r="D95" s="6"/>
      <c r="E95" s="6"/>
      <c r="F95" s="12"/>
      <c r="G95" s="3"/>
      <c r="H95" s="3"/>
      <c r="I95" s="3"/>
      <c r="J95" s="11"/>
      <c r="K95" s="3"/>
      <c r="L95" s="3"/>
      <c r="M95" s="15"/>
      <c r="N95" s="3"/>
      <c r="O95" s="3"/>
    </row>
    <row r="96" spans="1:15">
      <c r="A96" s="3"/>
      <c r="B96" s="3"/>
      <c r="C96" s="6"/>
      <c r="D96" s="6"/>
      <c r="E96" s="6"/>
      <c r="F96" s="12"/>
      <c r="G96" s="3"/>
      <c r="H96" s="3"/>
      <c r="I96" s="3"/>
      <c r="J96" s="11"/>
      <c r="K96" s="3"/>
      <c r="L96" s="3"/>
      <c r="M96" s="15"/>
      <c r="N96" s="3"/>
      <c r="O96" s="3"/>
    </row>
    <row r="97" spans="1:15">
      <c r="A97" s="3"/>
      <c r="B97" s="3"/>
      <c r="C97" s="6"/>
      <c r="D97" s="6"/>
      <c r="E97" s="6"/>
      <c r="F97" s="12"/>
      <c r="G97" s="3"/>
      <c r="H97" s="3"/>
      <c r="I97" s="3"/>
      <c r="J97" s="11"/>
      <c r="K97" s="3"/>
      <c r="L97" s="3"/>
      <c r="M97" s="15"/>
      <c r="N97" s="3"/>
      <c r="O97" s="3"/>
    </row>
    <row r="98" spans="1:15">
      <c r="A98" s="3"/>
      <c r="B98" s="3"/>
      <c r="C98" s="6"/>
      <c r="D98" s="6"/>
      <c r="E98" s="6"/>
      <c r="F98" s="12"/>
      <c r="G98" s="3"/>
      <c r="H98" s="3"/>
      <c r="I98" s="3"/>
      <c r="J98" s="11"/>
      <c r="K98" s="3"/>
      <c r="L98" s="3"/>
      <c r="M98" s="15"/>
      <c r="N98" s="3"/>
      <c r="O98" s="3"/>
    </row>
    <row r="99" spans="1:15">
      <c r="A99" s="3"/>
      <c r="B99" s="3"/>
      <c r="C99" s="6"/>
      <c r="D99" s="6"/>
      <c r="E99" s="6"/>
      <c r="F99" s="12"/>
      <c r="G99" s="3"/>
      <c r="H99" s="3"/>
      <c r="I99" s="3"/>
      <c r="J99" s="11"/>
      <c r="K99" s="3"/>
      <c r="L99" s="3"/>
      <c r="M99" s="15"/>
      <c r="N99" s="3"/>
      <c r="O99" s="3"/>
    </row>
    <row r="100" spans="1:15">
      <c r="A100" s="3"/>
      <c r="B100" s="3"/>
      <c r="C100" s="6"/>
      <c r="D100" s="6"/>
      <c r="E100" s="6"/>
      <c r="F100" s="12"/>
      <c r="G100" s="3"/>
      <c r="H100" s="3"/>
      <c r="I100" s="3"/>
      <c r="J100" s="11"/>
      <c r="K100" s="3"/>
      <c r="L100" s="3"/>
      <c r="M100" s="15"/>
      <c r="N100" s="3"/>
      <c r="O100" s="3"/>
    </row>
    <row r="101" spans="1:15">
      <c r="A101" s="3"/>
      <c r="B101" s="3"/>
      <c r="C101" s="6"/>
      <c r="D101" s="6"/>
      <c r="E101" s="6"/>
      <c r="F101" s="12"/>
      <c r="G101" s="3"/>
      <c r="H101" s="3"/>
      <c r="I101" s="3"/>
      <c r="J101" s="11"/>
      <c r="K101" s="3"/>
      <c r="L101" s="3"/>
      <c r="M101" s="15"/>
      <c r="N101" s="3"/>
      <c r="O101" s="3"/>
    </row>
    <row r="102" spans="1:15">
      <c r="A102" s="3"/>
      <c r="B102" s="3"/>
      <c r="C102" s="6"/>
      <c r="D102" s="6"/>
      <c r="E102" s="6"/>
      <c r="F102" s="12"/>
      <c r="G102" s="3"/>
      <c r="H102" s="3"/>
      <c r="I102" s="3"/>
      <c r="J102" s="11"/>
      <c r="K102" s="3"/>
      <c r="L102" s="3"/>
      <c r="M102" s="15"/>
      <c r="N102" s="3"/>
      <c r="O102" s="3"/>
    </row>
    <row r="103" spans="1:15">
      <c r="A103" s="3"/>
      <c r="B103" s="3"/>
      <c r="C103" s="6"/>
      <c r="D103" s="6"/>
      <c r="E103" s="6"/>
      <c r="F103" s="12"/>
      <c r="G103" s="3"/>
      <c r="H103" s="3"/>
      <c r="I103" s="3"/>
      <c r="J103" s="11"/>
      <c r="K103" s="3"/>
      <c r="L103" s="3"/>
      <c r="M103" s="15"/>
      <c r="N103" s="3"/>
      <c r="O103" s="3"/>
    </row>
  </sheetData>
  <mergeCells count="1">
    <mergeCell ref="A1:L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3"/>
  <sheetViews>
    <sheetView workbookViewId="0">
      <pane ySplit="3" topLeftCell="A4" activePane="bottomLeft" state="frozen"/>
      <selection pane="bottomLeft"/>
    </sheetView>
  </sheetViews>
  <sheetFormatPr defaultRowHeight="14"/>
  <cols>
    <col min="1" max="1" width="11" customWidth="1"/>
    <col min="2" max="2" width="13" customWidth="1"/>
    <col min="3" max="3" width="18" customWidth="1"/>
    <col min="4" max="5" width="10" customWidth="1"/>
    <col min="6" max="6" width="15" customWidth="1"/>
    <col min="7" max="7" width="14" customWidth="1"/>
    <col min="8" max="8" width="12" customWidth="1"/>
    <col min="9" max="9" width="34" customWidth="1"/>
    <col min="10" max="10" width="18" customWidth="1"/>
    <col min="11" max="11" width="14" customWidth="1"/>
    <col min="12" max="12" width="60" customWidth="1"/>
    <col min="13" max="13" width="58" customWidth="1"/>
  </cols>
  <sheetData>
    <row r="1" spans="1:13" ht="30" customHeight="1">
      <c r="A1" s="31" t="s">
        <v>209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3" spans="1:13" ht="30" customHeight="1">
      <c r="A3" s="1" t="s">
        <v>111</v>
      </c>
      <c r="B3" s="1" t="s">
        <v>114</v>
      </c>
      <c r="C3" s="1" t="s">
        <v>115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217</v>
      </c>
      <c r="L3" s="1" t="s">
        <v>119</v>
      </c>
      <c r="M3" s="1" t="s">
        <v>31</v>
      </c>
    </row>
    <row r="4" spans="1:13" ht="28">
      <c r="A4" s="4" t="s">
        <v>125</v>
      </c>
      <c r="B4" s="5">
        <v>268</v>
      </c>
      <c r="C4" s="5">
        <v>3342982.73</v>
      </c>
      <c r="D4" s="13">
        <v>111.98</v>
      </c>
      <c r="E4" s="13">
        <v>31.71</v>
      </c>
      <c r="F4" s="13">
        <v>75.349999999999994</v>
      </c>
      <c r="G4" s="14"/>
      <c r="H4" s="14"/>
      <c r="I4" s="4" t="s">
        <v>218</v>
      </c>
      <c r="J4" s="4" t="s">
        <v>168</v>
      </c>
      <c r="K4" s="4" t="s">
        <v>30</v>
      </c>
      <c r="L4" s="4" t="s">
        <v>130</v>
      </c>
      <c r="M4" s="4" t="s">
        <v>219</v>
      </c>
    </row>
    <row r="5" spans="1:13" ht="28">
      <c r="A5" s="4" t="s">
        <v>133</v>
      </c>
      <c r="B5" s="5">
        <v>40.5</v>
      </c>
      <c r="C5" s="5">
        <v>1156801.3500000001</v>
      </c>
      <c r="D5" s="13">
        <v>9.2799999999999994</v>
      </c>
      <c r="E5" s="13">
        <v>0.96</v>
      </c>
      <c r="F5" s="13">
        <v>5.08</v>
      </c>
      <c r="G5" s="14"/>
      <c r="H5" s="14"/>
      <c r="I5" s="4" t="s">
        <v>218</v>
      </c>
      <c r="J5" s="4" t="s">
        <v>171</v>
      </c>
      <c r="K5" s="4" t="s">
        <v>30</v>
      </c>
      <c r="L5" s="4" t="s">
        <v>136</v>
      </c>
      <c r="M5" s="4" t="s">
        <v>220</v>
      </c>
    </row>
    <row r="6" spans="1:13" ht="42">
      <c r="A6" s="4" t="s">
        <v>138</v>
      </c>
      <c r="B6" s="5">
        <v>339</v>
      </c>
      <c r="C6" s="5">
        <v>1008257.19</v>
      </c>
      <c r="D6" s="13">
        <v>18.95</v>
      </c>
      <c r="E6" s="13">
        <v>19.399999999999999</v>
      </c>
      <c r="F6" s="13">
        <v>9.69</v>
      </c>
      <c r="G6" s="14"/>
      <c r="H6" s="14"/>
      <c r="I6" s="4" t="s">
        <v>218</v>
      </c>
      <c r="J6" s="4" t="s">
        <v>174</v>
      </c>
      <c r="K6" s="4" t="s">
        <v>30</v>
      </c>
      <c r="L6" s="4" t="s">
        <v>141</v>
      </c>
      <c r="M6" s="4" t="s">
        <v>221</v>
      </c>
    </row>
    <row r="7" spans="1:13" ht="28">
      <c r="A7" s="4" t="s">
        <v>143</v>
      </c>
      <c r="B7" s="5">
        <v>59.75</v>
      </c>
      <c r="C7" s="5">
        <v>892655.3</v>
      </c>
      <c r="D7" s="13">
        <v>11.92</v>
      </c>
      <c r="E7" s="13">
        <v>2.83</v>
      </c>
      <c r="F7" s="13">
        <v>12.78</v>
      </c>
      <c r="G7" s="14"/>
      <c r="H7" s="14"/>
      <c r="I7" s="4" t="s">
        <v>222</v>
      </c>
      <c r="J7" s="4" t="s">
        <v>174</v>
      </c>
      <c r="K7" s="4" t="s">
        <v>30</v>
      </c>
      <c r="L7" s="4" t="s">
        <v>145</v>
      </c>
      <c r="M7" s="4" t="s">
        <v>223</v>
      </c>
    </row>
    <row r="8" spans="1:13" ht="28">
      <c r="A8" s="4" t="s">
        <v>147</v>
      </c>
      <c r="B8" s="5">
        <v>59.75</v>
      </c>
      <c r="C8" s="5">
        <v>853570.58</v>
      </c>
      <c r="D8" s="13">
        <v>45.71</v>
      </c>
      <c r="E8" s="13">
        <v>6.36</v>
      </c>
      <c r="F8" s="13">
        <v>23.29</v>
      </c>
      <c r="G8" s="14"/>
      <c r="H8" s="14"/>
      <c r="I8" s="4" t="s">
        <v>218</v>
      </c>
      <c r="J8" s="4" t="s">
        <v>179</v>
      </c>
      <c r="K8" s="4" t="s">
        <v>30</v>
      </c>
      <c r="L8" s="4" t="s">
        <v>151</v>
      </c>
      <c r="M8" s="4" t="s">
        <v>224</v>
      </c>
    </row>
    <row r="9" spans="1:13">
      <c r="A9" s="3"/>
      <c r="B9" s="6"/>
      <c r="C9" s="6"/>
      <c r="D9" s="15"/>
      <c r="E9" s="15"/>
      <c r="F9" s="15"/>
      <c r="G9" s="12"/>
      <c r="H9" s="12"/>
      <c r="I9" s="3"/>
      <c r="J9" s="3"/>
      <c r="K9" s="3"/>
      <c r="L9" s="3"/>
      <c r="M9" s="3"/>
    </row>
    <row r="10" spans="1:13">
      <c r="A10" s="3"/>
      <c r="B10" s="6"/>
      <c r="C10" s="6"/>
      <c r="D10" s="15"/>
      <c r="E10" s="15"/>
      <c r="F10" s="15"/>
      <c r="G10" s="12"/>
      <c r="H10" s="12"/>
      <c r="I10" s="3"/>
      <c r="J10" s="3"/>
      <c r="K10" s="3"/>
      <c r="L10" s="3"/>
      <c r="M10" s="3"/>
    </row>
    <row r="11" spans="1:13">
      <c r="A11" s="3"/>
      <c r="B11" s="6"/>
      <c r="C11" s="6"/>
      <c r="D11" s="15"/>
      <c r="E11" s="15"/>
      <c r="F11" s="15"/>
      <c r="G11" s="12"/>
      <c r="H11" s="12"/>
      <c r="I11" s="3"/>
      <c r="J11" s="3"/>
      <c r="K11" s="3"/>
      <c r="L11" s="3"/>
      <c r="M11" s="3"/>
    </row>
    <row r="12" spans="1:13">
      <c r="A12" s="3"/>
      <c r="B12" s="6"/>
      <c r="C12" s="6"/>
      <c r="D12" s="15"/>
      <c r="E12" s="15"/>
      <c r="F12" s="15"/>
      <c r="G12" s="12"/>
      <c r="H12" s="12"/>
      <c r="I12" s="3"/>
      <c r="J12" s="3"/>
      <c r="K12" s="3"/>
      <c r="L12" s="3"/>
      <c r="M12" s="3"/>
    </row>
    <row r="13" spans="1:13">
      <c r="A13" s="3"/>
      <c r="B13" s="6"/>
      <c r="C13" s="6"/>
      <c r="D13" s="15"/>
      <c r="E13" s="15"/>
      <c r="F13" s="15"/>
      <c r="G13" s="12"/>
      <c r="H13" s="12"/>
      <c r="I13" s="3"/>
      <c r="J13" s="3"/>
      <c r="K13" s="3"/>
      <c r="L13" s="3"/>
      <c r="M13" s="3"/>
    </row>
    <row r="14" spans="1:13">
      <c r="A14" s="3"/>
      <c r="B14" s="6"/>
      <c r="C14" s="6"/>
      <c r="D14" s="15"/>
      <c r="E14" s="15"/>
      <c r="F14" s="15"/>
      <c r="G14" s="12"/>
      <c r="H14" s="12"/>
      <c r="I14" s="3"/>
      <c r="J14" s="3"/>
      <c r="K14" s="3"/>
      <c r="L14" s="3"/>
      <c r="M14" s="3"/>
    </row>
    <row r="15" spans="1:13">
      <c r="A15" s="3"/>
      <c r="B15" s="6"/>
      <c r="C15" s="6"/>
      <c r="D15" s="15"/>
      <c r="E15" s="15"/>
      <c r="F15" s="15"/>
      <c r="G15" s="12"/>
      <c r="H15" s="12"/>
      <c r="I15" s="3"/>
      <c r="J15" s="3"/>
      <c r="K15" s="3"/>
      <c r="L15" s="3"/>
      <c r="M15" s="3"/>
    </row>
    <row r="16" spans="1:13">
      <c r="A16" s="3"/>
      <c r="B16" s="6"/>
      <c r="C16" s="6"/>
      <c r="D16" s="15"/>
      <c r="E16" s="15"/>
      <c r="F16" s="15"/>
      <c r="G16" s="12"/>
      <c r="H16" s="12"/>
      <c r="I16" s="3"/>
      <c r="J16" s="3"/>
      <c r="K16" s="3"/>
      <c r="L16" s="3"/>
      <c r="M16" s="3"/>
    </row>
    <row r="17" spans="1:13">
      <c r="A17" s="3"/>
      <c r="B17" s="6"/>
      <c r="C17" s="6"/>
      <c r="D17" s="15"/>
      <c r="E17" s="15"/>
      <c r="F17" s="15"/>
      <c r="G17" s="12"/>
      <c r="H17" s="12"/>
      <c r="I17" s="3"/>
      <c r="J17" s="3"/>
      <c r="K17" s="3"/>
      <c r="L17" s="3"/>
      <c r="M17" s="3"/>
    </row>
    <row r="18" spans="1:13">
      <c r="A18" s="3"/>
      <c r="B18" s="6"/>
      <c r="C18" s="6"/>
      <c r="D18" s="15"/>
      <c r="E18" s="15"/>
      <c r="F18" s="15"/>
      <c r="G18" s="12"/>
      <c r="H18" s="12"/>
      <c r="I18" s="3"/>
      <c r="J18" s="3"/>
      <c r="K18" s="3"/>
      <c r="L18" s="3"/>
      <c r="M18" s="3"/>
    </row>
    <row r="19" spans="1:13">
      <c r="A19" s="3"/>
      <c r="B19" s="6"/>
      <c r="C19" s="6"/>
      <c r="D19" s="15"/>
      <c r="E19" s="15"/>
      <c r="F19" s="15"/>
      <c r="G19" s="12"/>
      <c r="H19" s="12"/>
      <c r="I19" s="3"/>
      <c r="J19" s="3"/>
      <c r="K19" s="3"/>
      <c r="L19" s="3"/>
      <c r="M19" s="3"/>
    </row>
    <row r="20" spans="1:13">
      <c r="A20" s="3"/>
      <c r="B20" s="6"/>
      <c r="C20" s="6"/>
      <c r="D20" s="15"/>
      <c r="E20" s="15"/>
      <c r="F20" s="15"/>
      <c r="G20" s="12"/>
      <c r="H20" s="12"/>
      <c r="I20" s="3"/>
      <c r="J20" s="3"/>
      <c r="K20" s="3"/>
      <c r="L20" s="3"/>
      <c r="M20" s="3"/>
    </row>
    <row r="21" spans="1:13">
      <c r="A21" s="3"/>
      <c r="B21" s="6"/>
      <c r="C21" s="6"/>
      <c r="D21" s="15"/>
      <c r="E21" s="15"/>
      <c r="F21" s="15"/>
      <c r="G21" s="12"/>
      <c r="H21" s="12"/>
      <c r="I21" s="3"/>
      <c r="J21" s="3"/>
      <c r="K21" s="3"/>
      <c r="L21" s="3"/>
      <c r="M21" s="3"/>
    </row>
    <row r="22" spans="1:13">
      <c r="A22" s="3"/>
      <c r="B22" s="6"/>
      <c r="C22" s="6"/>
      <c r="D22" s="15"/>
      <c r="E22" s="15"/>
      <c r="F22" s="15"/>
      <c r="G22" s="12"/>
      <c r="H22" s="12"/>
      <c r="I22" s="3"/>
      <c r="J22" s="3"/>
      <c r="K22" s="3"/>
      <c r="L22" s="3"/>
      <c r="M22" s="3"/>
    </row>
    <row r="23" spans="1:13">
      <c r="A23" s="3"/>
      <c r="B23" s="6"/>
      <c r="C23" s="6"/>
      <c r="D23" s="15"/>
      <c r="E23" s="15"/>
      <c r="F23" s="15"/>
      <c r="G23" s="12"/>
      <c r="H23" s="12"/>
      <c r="I23" s="3"/>
      <c r="J23" s="3"/>
      <c r="K23" s="3"/>
      <c r="L23" s="3"/>
      <c r="M23" s="3"/>
    </row>
    <row r="24" spans="1:13">
      <c r="A24" s="3"/>
      <c r="B24" s="6"/>
      <c r="C24" s="6"/>
      <c r="D24" s="15"/>
      <c r="E24" s="15"/>
      <c r="F24" s="15"/>
      <c r="G24" s="12"/>
      <c r="H24" s="12"/>
      <c r="I24" s="3"/>
      <c r="J24" s="3"/>
      <c r="K24" s="3"/>
      <c r="L24" s="3"/>
      <c r="M24" s="3"/>
    </row>
    <row r="25" spans="1:13">
      <c r="A25" s="3"/>
      <c r="B25" s="6"/>
      <c r="C25" s="6"/>
      <c r="D25" s="15"/>
      <c r="E25" s="15"/>
      <c r="F25" s="15"/>
      <c r="G25" s="12"/>
      <c r="H25" s="12"/>
      <c r="I25" s="3"/>
      <c r="J25" s="3"/>
      <c r="K25" s="3"/>
      <c r="L25" s="3"/>
      <c r="M25" s="3"/>
    </row>
    <row r="26" spans="1:13">
      <c r="A26" s="3"/>
      <c r="B26" s="6"/>
      <c r="C26" s="6"/>
      <c r="D26" s="15"/>
      <c r="E26" s="15"/>
      <c r="F26" s="15"/>
      <c r="G26" s="12"/>
      <c r="H26" s="12"/>
      <c r="I26" s="3"/>
      <c r="J26" s="3"/>
      <c r="K26" s="3"/>
      <c r="L26" s="3"/>
      <c r="M26" s="3"/>
    </row>
    <row r="27" spans="1:13">
      <c r="A27" s="3"/>
      <c r="B27" s="6"/>
      <c r="C27" s="6"/>
      <c r="D27" s="15"/>
      <c r="E27" s="15"/>
      <c r="F27" s="15"/>
      <c r="G27" s="12"/>
      <c r="H27" s="12"/>
      <c r="I27" s="3"/>
      <c r="J27" s="3"/>
      <c r="K27" s="3"/>
      <c r="L27" s="3"/>
      <c r="M27" s="3"/>
    </row>
    <row r="28" spans="1:13">
      <c r="A28" s="3"/>
      <c r="B28" s="6"/>
      <c r="C28" s="6"/>
      <c r="D28" s="15"/>
      <c r="E28" s="15"/>
      <c r="F28" s="15"/>
      <c r="G28" s="12"/>
      <c r="H28" s="12"/>
      <c r="I28" s="3"/>
      <c r="J28" s="3"/>
      <c r="K28" s="3"/>
      <c r="L28" s="3"/>
      <c r="M28" s="3"/>
    </row>
    <row r="29" spans="1:13">
      <c r="A29" s="3"/>
      <c r="B29" s="6"/>
      <c r="C29" s="6"/>
      <c r="D29" s="15"/>
      <c r="E29" s="15"/>
      <c r="F29" s="15"/>
      <c r="G29" s="12"/>
      <c r="H29" s="12"/>
      <c r="I29" s="3"/>
      <c r="J29" s="3"/>
      <c r="K29" s="3"/>
      <c r="L29" s="3"/>
      <c r="M29" s="3"/>
    </row>
    <row r="30" spans="1:13">
      <c r="A30" s="3"/>
      <c r="B30" s="6"/>
      <c r="C30" s="6"/>
      <c r="D30" s="15"/>
      <c r="E30" s="15"/>
      <c r="F30" s="15"/>
      <c r="G30" s="12"/>
      <c r="H30" s="12"/>
      <c r="I30" s="3"/>
      <c r="J30" s="3"/>
      <c r="K30" s="3"/>
      <c r="L30" s="3"/>
      <c r="M30" s="3"/>
    </row>
    <row r="31" spans="1:13">
      <c r="A31" s="3"/>
      <c r="B31" s="6"/>
      <c r="C31" s="6"/>
      <c r="D31" s="15"/>
      <c r="E31" s="15"/>
      <c r="F31" s="15"/>
      <c r="G31" s="12"/>
      <c r="H31" s="12"/>
      <c r="I31" s="3"/>
      <c r="J31" s="3"/>
      <c r="K31" s="3"/>
      <c r="L31" s="3"/>
      <c r="M31" s="3"/>
    </row>
    <row r="32" spans="1:13">
      <c r="A32" s="3"/>
      <c r="B32" s="6"/>
      <c r="C32" s="6"/>
      <c r="D32" s="15"/>
      <c r="E32" s="15"/>
      <c r="F32" s="15"/>
      <c r="G32" s="12"/>
      <c r="H32" s="12"/>
      <c r="I32" s="3"/>
      <c r="J32" s="3"/>
      <c r="K32" s="3"/>
      <c r="L32" s="3"/>
      <c r="M32" s="3"/>
    </row>
    <row r="33" spans="1:13">
      <c r="A33" s="3"/>
      <c r="B33" s="6"/>
      <c r="C33" s="6"/>
      <c r="D33" s="15"/>
      <c r="E33" s="15"/>
      <c r="F33" s="15"/>
      <c r="G33" s="12"/>
      <c r="H33" s="12"/>
      <c r="I33" s="3"/>
      <c r="J33" s="3"/>
      <c r="K33" s="3"/>
      <c r="L33" s="3"/>
      <c r="M33" s="3"/>
    </row>
    <row r="34" spans="1:13">
      <c r="A34" s="3"/>
      <c r="B34" s="6"/>
      <c r="C34" s="6"/>
      <c r="D34" s="15"/>
      <c r="E34" s="15"/>
      <c r="F34" s="15"/>
      <c r="G34" s="12"/>
      <c r="H34" s="12"/>
      <c r="I34" s="3"/>
      <c r="J34" s="3"/>
      <c r="K34" s="3"/>
      <c r="L34" s="3"/>
      <c r="M34" s="3"/>
    </row>
    <row r="35" spans="1:13">
      <c r="A35" s="3"/>
      <c r="B35" s="6"/>
      <c r="C35" s="6"/>
      <c r="D35" s="15"/>
      <c r="E35" s="15"/>
      <c r="F35" s="15"/>
      <c r="G35" s="12"/>
      <c r="H35" s="12"/>
      <c r="I35" s="3"/>
      <c r="J35" s="3"/>
      <c r="K35" s="3"/>
      <c r="L35" s="3"/>
      <c r="M35" s="3"/>
    </row>
    <row r="36" spans="1:13">
      <c r="A36" s="3"/>
      <c r="B36" s="6"/>
      <c r="C36" s="6"/>
      <c r="D36" s="15"/>
      <c r="E36" s="15"/>
      <c r="F36" s="15"/>
      <c r="G36" s="12"/>
      <c r="H36" s="12"/>
      <c r="I36" s="3"/>
      <c r="J36" s="3"/>
      <c r="K36" s="3"/>
      <c r="L36" s="3"/>
      <c r="M36" s="3"/>
    </row>
    <row r="37" spans="1:13">
      <c r="A37" s="3"/>
      <c r="B37" s="6"/>
      <c r="C37" s="6"/>
      <c r="D37" s="15"/>
      <c r="E37" s="15"/>
      <c r="F37" s="15"/>
      <c r="G37" s="12"/>
      <c r="H37" s="12"/>
      <c r="I37" s="3"/>
      <c r="J37" s="3"/>
      <c r="K37" s="3"/>
      <c r="L37" s="3"/>
      <c r="M37" s="3"/>
    </row>
    <row r="38" spans="1:13">
      <c r="A38" s="3"/>
      <c r="B38" s="6"/>
      <c r="C38" s="6"/>
      <c r="D38" s="15"/>
      <c r="E38" s="15"/>
      <c r="F38" s="15"/>
      <c r="G38" s="12"/>
      <c r="H38" s="12"/>
      <c r="I38" s="3"/>
      <c r="J38" s="3"/>
      <c r="K38" s="3"/>
      <c r="L38" s="3"/>
      <c r="M38" s="3"/>
    </row>
    <row r="39" spans="1:13">
      <c r="A39" s="3"/>
      <c r="B39" s="6"/>
      <c r="C39" s="6"/>
      <c r="D39" s="15"/>
      <c r="E39" s="15"/>
      <c r="F39" s="15"/>
      <c r="G39" s="12"/>
      <c r="H39" s="12"/>
      <c r="I39" s="3"/>
      <c r="J39" s="3"/>
      <c r="K39" s="3"/>
      <c r="L39" s="3"/>
      <c r="M39" s="3"/>
    </row>
    <row r="40" spans="1:13">
      <c r="A40" s="3"/>
      <c r="B40" s="6"/>
      <c r="C40" s="6"/>
      <c r="D40" s="15"/>
      <c r="E40" s="15"/>
      <c r="F40" s="15"/>
      <c r="G40" s="12"/>
      <c r="H40" s="12"/>
      <c r="I40" s="3"/>
      <c r="J40" s="3"/>
      <c r="K40" s="3"/>
      <c r="L40" s="3"/>
      <c r="M40" s="3"/>
    </row>
    <row r="41" spans="1:13">
      <c r="A41" s="3"/>
      <c r="B41" s="6"/>
      <c r="C41" s="6"/>
      <c r="D41" s="15"/>
      <c r="E41" s="15"/>
      <c r="F41" s="15"/>
      <c r="G41" s="12"/>
      <c r="H41" s="12"/>
      <c r="I41" s="3"/>
      <c r="J41" s="3"/>
      <c r="K41" s="3"/>
      <c r="L41" s="3"/>
      <c r="M41" s="3"/>
    </row>
    <row r="42" spans="1:13">
      <c r="A42" s="3"/>
      <c r="B42" s="6"/>
      <c r="C42" s="6"/>
      <c r="D42" s="15"/>
      <c r="E42" s="15"/>
      <c r="F42" s="15"/>
      <c r="G42" s="12"/>
      <c r="H42" s="12"/>
      <c r="I42" s="3"/>
      <c r="J42" s="3"/>
      <c r="K42" s="3"/>
      <c r="L42" s="3"/>
      <c r="M42" s="3"/>
    </row>
    <row r="43" spans="1:13">
      <c r="A43" s="3"/>
      <c r="B43" s="6"/>
      <c r="C43" s="6"/>
      <c r="D43" s="15"/>
      <c r="E43" s="15"/>
      <c r="F43" s="15"/>
      <c r="G43" s="12"/>
      <c r="H43" s="12"/>
      <c r="I43" s="3"/>
      <c r="J43" s="3"/>
      <c r="K43" s="3"/>
      <c r="L43" s="3"/>
      <c r="M43" s="3"/>
    </row>
    <row r="44" spans="1:13">
      <c r="A44" s="3"/>
      <c r="B44" s="6"/>
      <c r="C44" s="6"/>
      <c r="D44" s="15"/>
      <c r="E44" s="15"/>
      <c r="F44" s="15"/>
      <c r="G44" s="12"/>
      <c r="H44" s="12"/>
      <c r="I44" s="3"/>
      <c r="J44" s="3"/>
      <c r="K44" s="3"/>
      <c r="L44" s="3"/>
      <c r="M44" s="3"/>
    </row>
    <row r="45" spans="1:13">
      <c r="A45" s="3"/>
      <c r="B45" s="6"/>
      <c r="C45" s="6"/>
      <c r="D45" s="15"/>
      <c r="E45" s="15"/>
      <c r="F45" s="15"/>
      <c r="G45" s="12"/>
      <c r="H45" s="12"/>
      <c r="I45" s="3"/>
      <c r="J45" s="3"/>
      <c r="K45" s="3"/>
      <c r="L45" s="3"/>
      <c r="M45" s="3"/>
    </row>
    <row r="46" spans="1:13">
      <c r="A46" s="3"/>
      <c r="B46" s="6"/>
      <c r="C46" s="6"/>
      <c r="D46" s="15"/>
      <c r="E46" s="15"/>
      <c r="F46" s="15"/>
      <c r="G46" s="12"/>
      <c r="H46" s="12"/>
      <c r="I46" s="3"/>
      <c r="J46" s="3"/>
      <c r="K46" s="3"/>
      <c r="L46" s="3"/>
      <c r="M46" s="3"/>
    </row>
    <row r="47" spans="1:13">
      <c r="A47" s="3"/>
      <c r="B47" s="6"/>
      <c r="C47" s="6"/>
      <c r="D47" s="15"/>
      <c r="E47" s="15"/>
      <c r="F47" s="15"/>
      <c r="G47" s="12"/>
      <c r="H47" s="12"/>
      <c r="I47" s="3"/>
      <c r="J47" s="3"/>
      <c r="K47" s="3"/>
      <c r="L47" s="3"/>
      <c r="M47" s="3"/>
    </row>
    <row r="48" spans="1:13">
      <c r="A48" s="3"/>
      <c r="B48" s="6"/>
      <c r="C48" s="6"/>
      <c r="D48" s="15"/>
      <c r="E48" s="15"/>
      <c r="F48" s="15"/>
      <c r="G48" s="12"/>
      <c r="H48" s="12"/>
      <c r="I48" s="3"/>
      <c r="J48" s="3"/>
      <c r="K48" s="3"/>
      <c r="L48" s="3"/>
      <c r="M48" s="3"/>
    </row>
    <row r="49" spans="1:13">
      <c r="A49" s="3"/>
      <c r="B49" s="6"/>
      <c r="C49" s="6"/>
      <c r="D49" s="15"/>
      <c r="E49" s="15"/>
      <c r="F49" s="15"/>
      <c r="G49" s="12"/>
      <c r="H49" s="12"/>
      <c r="I49" s="3"/>
      <c r="J49" s="3"/>
      <c r="K49" s="3"/>
      <c r="L49" s="3"/>
      <c r="M49" s="3"/>
    </row>
    <row r="50" spans="1:13">
      <c r="A50" s="3"/>
      <c r="B50" s="6"/>
      <c r="C50" s="6"/>
      <c r="D50" s="15"/>
      <c r="E50" s="15"/>
      <c r="F50" s="15"/>
      <c r="G50" s="12"/>
      <c r="H50" s="12"/>
      <c r="I50" s="3"/>
      <c r="J50" s="3"/>
      <c r="K50" s="3"/>
      <c r="L50" s="3"/>
      <c r="M50" s="3"/>
    </row>
    <row r="51" spans="1:13">
      <c r="A51" s="3"/>
      <c r="B51" s="6"/>
      <c r="C51" s="6"/>
      <c r="D51" s="15"/>
      <c r="E51" s="15"/>
      <c r="F51" s="15"/>
      <c r="G51" s="12"/>
      <c r="H51" s="12"/>
      <c r="I51" s="3"/>
      <c r="J51" s="3"/>
      <c r="K51" s="3"/>
      <c r="L51" s="3"/>
      <c r="M51" s="3"/>
    </row>
    <row r="52" spans="1:13">
      <c r="A52" s="3"/>
      <c r="B52" s="6"/>
      <c r="C52" s="6"/>
      <c r="D52" s="15"/>
      <c r="E52" s="15"/>
      <c r="F52" s="15"/>
      <c r="G52" s="12"/>
      <c r="H52" s="12"/>
      <c r="I52" s="3"/>
      <c r="J52" s="3"/>
      <c r="K52" s="3"/>
      <c r="L52" s="3"/>
      <c r="M52" s="3"/>
    </row>
    <row r="53" spans="1:13">
      <c r="A53" s="3"/>
      <c r="B53" s="6"/>
      <c r="C53" s="6"/>
      <c r="D53" s="15"/>
      <c r="E53" s="15"/>
      <c r="F53" s="15"/>
      <c r="G53" s="12"/>
      <c r="H53" s="12"/>
      <c r="I53" s="3"/>
      <c r="J53" s="3"/>
      <c r="K53" s="3"/>
      <c r="L53" s="3"/>
      <c r="M53" s="3"/>
    </row>
    <row r="54" spans="1:13">
      <c r="A54" s="3"/>
      <c r="B54" s="6"/>
      <c r="C54" s="6"/>
      <c r="D54" s="15"/>
      <c r="E54" s="15"/>
      <c r="F54" s="15"/>
      <c r="G54" s="12"/>
      <c r="H54" s="12"/>
      <c r="I54" s="3"/>
      <c r="J54" s="3"/>
      <c r="K54" s="3"/>
      <c r="L54" s="3"/>
      <c r="M54" s="3"/>
    </row>
    <row r="55" spans="1:13">
      <c r="A55" s="3"/>
      <c r="B55" s="6"/>
      <c r="C55" s="6"/>
      <c r="D55" s="15"/>
      <c r="E55" s="15"/>
      <c r="F55" s="15"/>
      <c r="G55" s="12"/>
      <c r="H55" s="12"/>
      <c r="I55" s="3"/>
      <c r="J55" s="3"/>
      <c r="K55" s="3"/>
      <c r="L55" s="3"/>
      <c r="M55" s="3"/>
    </row>
    <row r="56" spans="1:13">
      <c r="A56" s="3"/>
      <c r="B56" s="6"/>
      <c r="C56" s="6"/>
      <c r="D56" s="15"/>
      <c r="E56" s="15"/>
      <c r="F56" s="15"/>
      <c r="G56" s="12"/>
      <c r="H56" s="12"/>
      <c r="I56" s="3"/>
      <c r="J56" s="3"/>
      <c r="K56" s="3"/>
      <c r="L56" s="3"/>
      <c r="M56" s="3"/>
    </row>
    <row r="57" spans="1:13">
      <c r="A57" s="3"/>
      <c r="B57" s="6"/>
      <c r="C57" s="6"/>
      <c r="D57" s="15"/>
      <c r="E57" s="15"/>
      <c r="F57" s="15"/>
      <c r="G57" s="12"/>
      <c r="H57" s="12"/>
      <c r="I57" s="3"/>
      <c r="J57" s="3"/>
      <c r="K57" s="3"/>
      <c r="L57" s="3"/>
      <c r="M57" s="3"/>
    </row>
    <row r="58" spans="1:13">
      <c r="A58" s="3"/>
      <c r="B58" s="6"/>
      <c r="C58" s="6"/>
      <c r="D58" s="15"/>
      <c r="E58" s="15"/>
      <c r="F58" s="15"/>
      <c r="G58" s="12"/>
      <c r="H58" s="12"/>
      <c r="I58" s="3"/>
      <c r="J58" s="3"/>
      <c r="K58" s="3"/>
      <c r="L58" s="3"/>
      <c r="M58" s="3"/>
    </row>
    <row r="59" spans="1:13">
      <c r="A59" s="3"/>
      <c r="B59" s="6"/>
      <c r="C59" s="6"/>
      <c r="D59" s="15"/>
      <c r="E59" s="15"/>
      <c r="F59" s="15"/>
      <c r="G59" s="12"/>
      <c r="H59" s="12"/>
      <c r="I59" s="3"/>
      <c r="J59" s="3"/>
      <c r="K59" s="3"/>
      <c r="L59" s="3"/>
      <c r="M59" s="3"/>
    </row>
    <row r="60" spans="1:13">
      <c r="A60" s="3"/>
      <c r="B60" s="6"/>
      <c r="C60" s="6"/>
      <c r="D60" s="15"/>
      <c r="E60" s="15"/>
      <c r="F60" s="15"/>
      <c r="G60" s="12"/>
      <c r="H60" s="12"/>
      <c r="I60" s="3"/>
      <c r="J60" s="3"/>
      <c r="K60" s="3"/>
      <c r="L60" s="3"/>
      <c r="M60" s="3"/>
    </row>
    <row r="61" spans="1:13">
      <c r="A61" s="3"/>
      <c r="B61" s="6"/>
      <c r="C61" s="6"/>
      <c r="D61" s="15"/>
      <c r="E61" s="15"/>
      <c r="F61" s="15"/>
      <c r="G61" s="12"/>
      <c r="H61" s="12"/>
      <c r="I61" s="3"/>
      <c r="J61" s="3"/>
      <c r="K61" s="3"/>
      <c r="L61" s="3"/>
      <c r="M61" s="3"/>
    </row>
    <row r="62" spans="1:13">
      <c r="A62" s="3"/>
      <c r="B62" s="6"/>
      <c r="C62" s="6"/>
      <c r="D62" s="15"/>
      <c r="E62" s="15"/>
      <c r="F62" s="15"/>
      <c r="G62" s="12"/>
      <c r="H62" s="12"/>
      <c r="I62" s="3"/>
      <c r="J62" s="3"/>
      <c r="K62" s="3"/>
      <c r="L62" s="3"/>
      <c r="M62" s="3"/>
    </row>
    <row r="63" spans="1:13">
      <c r="A63" s="3"/>
      <c r="B63" s="6"/>
      <c r="C63" s="6"/>
      <c r="D63" s="15"/>
      <c r="E63" s="15"/>
      <c r="F63" s="15"/>
      <c r="G63" s="12"/>
      <c r="H63" s="12"/>
      <c r="I63" s="3"/>
      <c r="J63" s="3"/>
      <c r="K63" s="3"/>
      <c r="L63" s="3"/>
      <c r="M63" s="3"/>
    </row>
    <row r="64" spans="1:13">
      <c r="A64" s="3"/>
      <c r="B64" s="6"/>
      <c r="C64" s="6"/>
      <c r="D64" s="15"/>
      <c r="E64" s="15"/>
      <c r="F64" s="15"/>
      <c r="G64" s="12"/>
      <c r="H64" s="12"/>
      <c r="I64" s="3"/>
      <c r="J64" s="3"/>
      <c r="K64" s="3"/>
      <c r="L64" s="3"/>
      <c r="M64" s="3"/>
    </row>
    <row r="65" spans="1:13">
      <c r="A65" s="3"/>
      <c r="B65" s="6"/>
      <c r="C65" s="6"/>
      <c r="D65" s="15"/>
      <c r="E65" s="15"/>
      <c r="F65" s="15"/>
      <c r="G65" s="12"/>
      <c r="H65" s="12"/>
      <c r="I65" s="3"/>
      <c r="J65" s="3"/>
      <c r="K65" s="3"/>
      <c r="L65" s="3"/>
      <c r="M65" s="3"/>
    </row>
    <row r="66" spans="1:13">
      <c r="A66" s="3"/>
      <c r="B66" s="6"/>
      <c r="C66" s="6"/>
      <c r="D66" s="15"/>
      <c r="E66" s="15"/>
      <c r="F66" s="15"/>
      <c r="G66" s="12"/>
      <c r="H66" s="12"/>
      <c r="I66" s="3"/>
      <c r="J66" s="3"/>
      <c r="K66" s="3"/>
      <c r="L66" s="3"/>
      <c r="M66" s="3"/>
    </row>
    <row r="67" spans="1:13">
      <c r="A67" s="3"/>
      <c r="B67" s="6"/>
      <c r="C67" s="6"/>
      <c r="D67" s="15"/>
      <c r="E67" s="15"/>
      <c r="F67" s="15"/>
      <c r="G67" s="12"/>
      <c r="H67" s="12"/>
      <c r="I67" s="3"/>
      <c r="J67" s="3"/>
      <c r="K67" s="3"/>
      <c r="L67" s="3"/>
      <c r="M67" s="3"/>
    </row>
    <row r="68" spans="1:13">
      <c r="A68" s="3"/>
      <c r="B68" s="6"/>
      <c r="C68" s="6"/>
      <c r="D68" s="15"/>
      <c r="E68" s="15"/>
      <c r="F68" s="15"/>
      <c r="G68" s="12"/>
      <c r="H68" s="12"/>
      <c r="I68" s="3"/>
      <c r="J68" s="3"/>
      <c r="K68" s="3"/>
      <c r="L68" s="3"/>
      <c r="M68" s="3"/>
    </row>
    <row r="69" spans="1:13">
      <c r="A69" s="3"/>
      <c r="B69" s="6"/>
      <c r="C69" s="6"/>
      <c r="D69" s="15"/>
      <c r="E69" s="15"/>
      <c r="F69" s="15"/>
      <c r="G69" s="12"/>
      <c r="H69" s="12"/>
      <c r="I69" s="3"/>
      <c r="J69" s="3"/>
      <c r="K69" s="3"/>
      <c r="L69" s="3"/>
      <c r="M69" s="3"/>
    </row>
    <row r="70" spans="1:13">
      <c r="A70" s="3"/>
      <c r="B70" s="6"/>
      <c r="C70" s="6"/>
      <c r="D70" s="15"/>
      <c r="E70" s="15"/>
      <c r="F70" s="15"/>
      <c r="G70" s="12"/>
      <c r="H70" s="12"/>
      <c r="I70" s="3"/>
      <c r="J70" s="3"/>
      <c r="K70" s="3"/>
      <c r="L70" s="3"/>
      <c r="M70" s="3"/>
    </row>
    <row r="71" spans="1:13">
      <c r="A71" s="3"/>
      <c r="B71" s="6"/>
      <c r="C71" s="6"/>
      <c r="D71" s="15"/>
      <c r="E71" s="15"/>
      <c r="F71" s="15"/>
      <c r="G71" s="12"/>
      <c r="H71" s="12"/>
      <c r="I71" s="3"/>
      <c r="J71" s="3"/>
      <c r="K71" s="3"/>
      <c r="L71" s="3"/>
      <c r="M71" s="3"/>
    </row>
    <row r="72" spans="1:13">
      <c r="A72" s="3"/>
      <c r="B72" s="6"/>
      <c r="C72" s="6"/>
      <c r="D72" s="15"/>
      <c r="E72" s="15"/>
      <c r="F72" s="15"/>
      <c r="G72" s="12"/>
      <c r="H72" s="12"/>
      <c r="I72" s="3"/>
      <c r="J72" s="3"/>
      <c r="K72" s="3"/>
      <c r="L72" s="3"/>
      <c r="M72" s="3"/>
    </row>
    <row r="73" spans="1:13">
      <c r="A73" s="3"/>
      <c r="B73" s="6"/>
      <c r="C73" s="6"/>
      <c r="D73" s="15"/>
      <c r="E73" s="15"/>
      <c r="F73" s="15"/>
      <c r="G73" s="12"/>
      <c r="H73" s="12"/>
      <c r="I73" s="3"/>
      <c r="J73" s="3"/>
      <c r="K73" s="3"/>
      <c r="L73" s="3"/>
      <c r="M73" s="3"/>
    </row>
    <row r="74" spans="1:13">
      <c r="A74" s="3"/>
      <c r="B74" s="6"/>
      <c r="C74" s="6"/>
      <c r="D74" s="15"/>
      <c r="E74" s="15"/>
      <c r="F74" s="15"/>
      <c r="G74" s="12"/>
      <c r="H74" s="12"/>
      <c r="I74" s="3"/>
      <c r="J74" s="3"/>
      <c r="K74" s="3"/>
      <c r="L74" s="3"/>
      <c r="M74" s="3"/>
    </row>
    <row r="75" spans="1:13">
      <c r="A75" s="3"/>
      <c r="B75" s="6"/>
      <c r="C75" s="6"/>
      <c r="D75" s="15"/>
      <c r="E75" s="15"/>
      <c r="F75" s="15"/>
      <c r="G75" s="12"/>
      <c r="H75" s="12"/>
      <c r="I75" s="3"/>
      <c r="J75" s="3"/>
      <c r="K75" s="3"/>
      <c r="L75" s="3"/>
      <c r="M75" s="3"/>
    </row>
    <row r="76" spans="1:13">
      <c r="A76" s="3"/>
      <c r="B76" s="6"/>
      <c r="C76" s="6"/>
      <c r="D76" s="15"/>
      <c r="E76" s="15"/>
      <c r="F76" s="15"/>
      <c r="G76" s="12"/>
      <c r="H76" s="12"/>
      <c r="I76" s="3"/>
      <c r="J76" s="3"/>
      <c r="K76" s="3"/>
      <c r="L76" s="3"/>
      <c r="M76" s="3"/>
    </row>
    <row r="77" spans="1:13">
      <c r="A77" s="3"/>
      <c r="B77" s="6"/>
      <c r="C77" s="6"/>
      <c r="D77" s="15"/>
      <c r="E77" s="15"/>
      <c r="F77" s="15"/>
      <c r="G77" s="12"/>
      <c r="H77" s="12"/>
      <c r="I77" s="3"/>
      <c r="J77" s="3"/>
      <c r="K77" s="3"/>
      <c r="L77" s="3"/>
      <c r="M77" s="3"/>
    </row>
    <row r="78" spans="1:13">
      <c r="A78" s="3"/>
      <c r="B78" s="6"/>
      <c r="C78" s="6"/>
      <c r="D78" s="15"/>
      <c r="E78" s="15"/>
      <c r="F78" s="15"/>
      <c r="G78" s="12"/>
      <c r="H78" s="12"/>
      <c r="I78" s="3"/>
      <c r="J78" s="3"/>
      <c r="K78" s="3"/>
      <c r="L78" s="3"/>
      <c r="M78" s="3"/>
    </row>
    <row r="79" spans="1:13">
      <c r="A79" s="3"/>
      <c r="B79" s="6"/>
      <c r="C79" s="6"/>
      <c r="D79" s="15"/>
      <c r="E79" s="15"/>
      <c r="F79" s="15"/>
      <c r="G79" s="12"/>
      <c r="H79" s="12"/>
      <c r="I79" s="3"/>
      <c r="J79" s="3"/>
      <c r="K79" s="3"/>
      <c r="L79" s="3"/>
      <c r="M79" s="3"/>
    </row>
    <row r="80" spans="1:13">
      <c r="A80" s="3"/>
      <c r="B80" s="6"/>
      <c r="C80" s="6"/>
      <c r="D80" s="15"/>
      <c r="E80" s="15"/>
      <c r="F80" s="15"/>
      <c r="G80" s="12"/>
      <c r="H80" s="12"/>
      <c r="I80" s="3"/>
      <c r="J80" s="3"/>
      <c r="K80" s="3"/>
      <c r="L80" s="3"/>
      <c r="M80" s="3"/>
    </row>
    <row r="81" spans="1:13">
      <c r="A81" s="3"/>
      <c r="B81" s="6"/>
      <c r="C81" s="6"/>
      <c r="D81" s="15"/>
      <c r="E81" s="15"/>
      <c r="F81" s="15"/>
      <c r="G81" s="12"/>
      <c r="H81" s="12"/>
      <c r="I81" s="3"/>
      <c r="J81" s="3"/>
      <c r="K81" s="3"/>
      <c r="L81" s="3"/>
      <c r="M81" s="3"/>
    </row>
    <row r="82" spans="1:13">
      <c r="A82" s="3"/>
      <c r="B82" s="6"/>
      <c r="C82" s="6"/>
      <c r="D82" s="15"/>
      <c r="E82" s="15"/>
      <c r="F82" s="15"/>
      <c r="G82" s="12"/>
      <c r="H82" s="12"/>
      <c r="I82" s="3"/>
      <c r="J82" s="3"/>
      <c r="K82" s="3"/>
      <c r="L82" s="3"/>
      <c r="M82" s="3"/>
    </row>
    <row r="83" spans="1:13">
      <c r="A83" s="3"/>
      <c r="B83" s="6"/>
      <c r="C83" s="6"/>
      <c r="D83" s="15"/>
      <c r="E83" s="15"/>
      <c r="F83" s="15"/>
      <c r="G83" s="12"/>
      <c r="H83" s="12"/>
      <c r="I83" s="3"/>
      <c r="J83" s="3"/>
      <c r="K83" s="3"/>
      <c r="L83" s="3"/>
      <c r="M83" s="3"/>
    </row>
    <row r="84" spans="1:13">
      <c r="A84" s="3"/>
      <c r="B84" s="6"/>
      <c r="C84" s="6"/>
      <c r="D84" s="15"/>
      <c r="E84" s="15"/>
      <c r="F84" s="15"/>
      <c r="G84" s="12"/>
      <c r="H84" s="12"/>
      <c r="I84" s="3"/>
      <c r="J84" s="3"/>
      <c r="K84" s="3"/>
      <c r="L84" s="3"/>
      <c r="M84" s="3"/>
    </row>
    <row r="85" spans="1:13">
      <c r="A85" s="3"/>
      <c r="B85" s="6"/>
      <c r="C85" s="6"/>
      <c r="D85" s="15"/>
      <c r="E85" s="15"/>
      <c r="F85" s="15"/>
      <c r="G85" s="12"/>
      <c r="H85" s="12"/>
      <c r="I85" s="3"/>
      <c r="J85" s="3"/>
      <c r="K85" s="3"/>
      <c r="L85" s="3"/>
      <c r="M85" s="3"/>
    </row>
    <row r="86" spans="1:13">
      <c r="A86" s="3"/>
      <c r="B86" s="6"/>
      <c r="C86" s="6"/>
      <c r="D86" s="15"/>
      <c r="E86" s="15"/>
      <c r="F86" s="15"/>
      <c r="G86" s="12"/>
      <c r="H86" s="12"/>
      <c r="I86" s="3"/>
      <c r="J86" s="3"/>
      <c r="K86" s="3"/>
      <c r="L86" s="3"/>
      <c r="M86" s="3"/>
    </row>
    <row r="87" spans="1:13">
      <c r="A87" s="3"/>
      <c r="B87" s="6"/>
      <c r="C87" s="6"/>
      <c r="D87" s="15"/>
      <c r="E87" s="15"/>
      <c r="F87" s="15"/>
      <c r="G87" s="12"/>
      <c r="H87" s="12"/>
      <c r="I87" s="3"/>
      <c r="J87" s="3"/>
      <c r="K87" s="3"/>
      <c r="L87" s="3"/>
      <c r="M87" s="3"/>
    </row>
    <row r="88" spans="1:13">
      <c r="A88" s="3"/>
      <c r="B88" s="6"/>
      <c r="C88" s="6"/>
      <c r="D88" s="15"/>
      <c r="E88" s="15"/>
      <c r="F88" s="15"/>
      <c r="G88" s="12"/>
      <c r="H88" s="12"/>
      <c r="I88" s="3"/>
      <c r="J88" s="3"/>
      <c r="K88" s="3"/>
      <c r="L88" s="3"/>
      <c r="M88" s="3"/>
    </row>
    <row r="89" spans="1:13">
      <c r="A89" s="3"/>
      <c r="B89" s="6"/>
      <c r="C89" s="6"/>
      <c r="D89" s="15"/>
      <c r="E89" s="15"/>
      <c r="F89" s="15"/>
      <c r="G89" s="12"/>
      <c r="H89" s="12"/>
      <c r="I89" s="3"/>
      <c r="J89" s="3"/>
      <c r="K89" s="3"/>
      <c r="L89" s="3"/>
      <c r="M89" s="3"/>
    </row>
    <row r="90" spans="1:13">
      <c r="A90" s="3"/>
      <c r="B90" s="6"/>
      <c r="C90" s="6"/>
      <c r="D90" s="15"/>
      <c r="E90" s="15"/>
      <c r="F90" s="15"/>
      <c r="G90" s="12"/>
      <c r="H90" s="12"/>
      <c r="I90" s="3"/>
      <c r="J90" s="3"/>
      <c r="K90" s="3"/>
      <c r="L90" s="3"/>
      <c r="M90" s="3"/>
    </row>
    <row r="91" spans="1:13">
      <c r="A91" s="3"/>
      <c r="B91" s="6"/>
      <c r="C91" s="6"/>
      <c r="D91" s="15"/>
      <c r="E91" s="15"/>
      <c r="F91" s="15"/>
      <c r="G91" s="12"/>
      <c r="H91" s="12"/>
      <c r="I91" s="3"/>
      <c r="J91" s="3"/>
      <c r="K91" s="3"/>
      <c r="L91" s="3"/>
      <c r="M91" s="3"/>
    </row>
    <row r="92" spans="1:13">
      <c r="A92" s="3"/>
      <c r="B92" s="6"/>
      <c r="C92" s="6"/>
      <c r="D92" s="15"/>
      <c r="E92" s="15"/>
      <c r="F92" s="15"/>
      <c r="G92" s="12"/>
      <c r="H92" s="12"/>
      <c r="I92" s="3"/>
      <c r="J92" s="3"/>
      <c r="K92" s="3"/>
      <c r="L92" s="3"/>
      <c r="M92" s="3"/>
    </row>
    <row r="93" spans="1:13">
      <c r="A93" s="3"/>
      <c r="B93" s="6"/>
      <c r="C93" s="6"/>
      <c r="D93" s="15"/>
      <c r="E93" s="15"/>
      <c r="F93" s="15"/>
      <c r="G93" s="12"/>
      <c r="H93" s="12"/>
      <c r="I93" s="3"/>
      <c r="J93" s="3"/>
      <c r="K93" s="3"/>
      <c r="L93" s="3"/>
      <c r="M93" s="3"/>
    </row>
    <row r="94" spans="1:13">
      <c r="A94" s="3"/>
      <c r="B94" s="6"/>
      <c r="C94" s="6"/>
      <c r="D94" s="15"/>
      <c r="E94" s="15"/>
      <c r="F94" s="15"/>
      <c r="G94" s="12"/>
      <c r="H94" s="12"/>
      <c r="I94" s="3"/>
      <c r="J94" s="3"/>
      <c r="K94" s="3"/>
      <c r="L94" s="3"/>
      <c r="M94" s="3"/>
    </row>
    <row r="95" spans="1:13">
      <c r="A95" s="3"/>
      <c r="B95" s="6"/>
      <c r="C95" s="6"/>
      <c r="D95" s="15"/>
      <c r="E95" s="15"/>
      <c r="F95" s="15"/>
      <c r="G95" s="12"/>
      <c r="H95" s="12"/>
      <c r="I95" s="3"/>
      <c r="J95" s="3"/>
      <c r="K95" s="3"/>
      <c r="L95" s="3"/>
      <c r="M95" s="3"/>
    </row>
    <row r="96" spans="1:13">
      <c r="A96" s="3"/>
      <c r="B96" s="6"/>
      <c r="C96" s="6"/>
      <c r="D96" s="15"/>
      <c r="E96" s="15"/>
      <c r="F96" s="15"/>
      <c r="G96" s="12"/>
      <c r="H96" s="12"/>
      <c r="I96" s="3"/>
      <c r="J96" s="3"/>
      <c r="K96" s="3"/>
      <c r="L96" s="3"/>
      <c r="M96" s="3"/>
    </row>
    <row r="97" spans="1:13">
      <c r="A97" s="3"/>
      <c r="B97" s="6"/>
      <c r="C97" s="6"/>
      <c r="D97" s="15"/>
      <c r="E97" s="15"/>
      <c r="F97" s="15"/>
      <c r="G97" s="12"/>
      <c r="H97" s="12"/>
      <c r="I97" s="3"/>
      <c r="J97" s="3"/>
      <c r="K97" s="3"/>
      <c r="L97" s="3"/>
      <c r="M97" s="3"/>
    </row>
    <row r="98" spans="1:13">
      <c r="A98" s="3"/>
      <c r="B98" s="6"/>
      <c r="C98" s="6"/>
      <c r="D98" s="15"/>
      <c r="E98" s="15"/>
      <c r="F98" s="15"/>
      <c r="G98" s="12"/>
      <c r="H98" s="12"/>
      <c r="I98" s="3"/>
      <c r="J98" s="3"/>
      <c r="K98" s="3"/>
      <c r="L98" s="3"/>
      <c r="M98" s="3"/>
    </row>
    <row r="99" spans="1:13">
      <c r="A99" s="3"/>
      <c r="B99" s="6"/>
      <c r="C99" s="6"/>
      <c r="D99" s="15"/>
      <c r="E99" s="15"/>
      <c r="F99" s="15"/>
      <c r="G99" s="12"/>
      <c r="H99" s="12"/>
      <c r="I99" s="3"/>
      <c r="J99" s="3"/>
      <c r="K99" s="3"/>
      <c r="L99" s="3"/>
      <c r="M99" s="3"/>
    </row>
    <row r="100" spans="1:13">
      <c r="A100" s="3"/>
      <c r="B100" s="6"/>
      <c r="C100" s="6"/>
      <c r="D100" s="15"/>
      <c r="E100" s="15"/>
      <c r="F100" s="15"/>
      <c r="G100" s="12"/>
      <c r="H100" s="12"/>
      <c r="I100" s="3"/>
      <c r="J100" s="3"/>
      <c r="K100" s="3"/>
      <c r="L100" s="3"/>
      <c r="M100" s="3"/>
    </row>
    <row r="101" spans="1:13">
      <c r="A101" s="3"/>
      <c r="B101" s="6"/>
      <c r="C101" s="6"/>
      <c r="D101" s="15"/>
      <c r="E101" s="15"/>
      <c r="F101" s="15"/>
      <c r="G101" s="12"/>
      <c r="H101" s="12"/>
      <c r="I101" s="3"/>
      <c r="J101" s="3"/>
      <c r="K101" s="3"/>
      <c r="L101" s="3"/>
      <c r="M101" s="3"/>
    </row>
    <row r="102" spans="1:13">
      <c r="A102" s="3"/>
      <c r="B102" s="6"/>
      <c r="C102" s="6"/>
      <c r="D102" s="15"/>
      <c r="E102" s="15"/>
      <c r="F102" s="15"/>
      <c r="G102" s="12"/>
      <c r="H102" s="12"/>
      <c r="I102" s="3"/>
      <c r="J102" s="3"/>
      <c r="K102" s="3"/>
      <c r="L102" s="3"/>
      <c r="M102" s="3"/>
    </row>
    <row r="103" spans="1:13">
      <c r="A103" s="3"/>
      <c r="B103" s="6"/>
      <c r="C103" s="6"/>
      <c r="D103" s="15"/>
      <c r="E103" s="15"/>
      <c r="F103" s="15"/>
      <c r="G103" s="12"/>
      <c r="H103" s="12"/>
      <c r="I103" s="3"/>
      <c r="J103" s="3"/>
      <c r="K103" s="3"/>
      <c r="L103" s="3"/>
      <c r="M103" s="3"/>
    </row>
  </sheetData>
  <mergeCells count="1">
    <mergeCell ref="A1:M1"/>
  </mergeCells>
  <dataValidations count="1">
    <dataValidation type="list" sqref="J4:J103" xr:uid="{00000000-0002-0000-0400-000000000000}">
      <formula1>"Very Cheap,Cheap,Fair Value,Expensive,Very Expensive"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3"/>
  <sheetViews>
    <sheetView workbookViewId="0">
      <pane ySplit="3" topLeftCell="A4" activePane="bottomLeft" state="frozen"/>
      <selection pane="bottomLeft"/>
    </sheetView>
  </sheetViews>
  <sheetFormatPr defaultRowHeight="14"/>
  <cols>
    <col min="1" max="1" width="11" customWidth="1"/>
    <col min="2" max="2" width="14" customWidth="1"/>
    <col min="3" max="3" width="16" customWidth="1"/>
    <col min="4" max="5" width="14" customWidth="1"/>
    <col min="6" max="6" width="13" customWidth="1"/>
    <col min="7" max="7" width="14" customWidth="1"/>
    <col min="8" max="8" width="15" customWidth="1"/>
    <col min="9" max="9" width="14" customWidth="1"/>
    <col min="10" max="10" width="18" customWidth="1"/>
    <col min="11" max="11" width="48" customWidth="1"/>
    <col min="12" max="12" width="52" customWidth="1"/>
  </cols>
  <sheetData>
    <row r="1" spans="1:12" ht="30" customHeight="1">
      <c r="A1" s="31" t="s">
        <v>225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</row>
    <row r="3" spans="1:12" ht="30" customHeight="1">
      <c r="A3" s="1" t="s">
        <v>111</v>
      </c>
      <c r="B3" s="1" t="s">
        <v>226</v>
      </c>
      <c r="C3" s="1" t="s">
        <v>227</v>
      </c>
      <c r="D3" s="1" t="s">
        <v>228</v>
      </c>
      <c r="E3" s="1" t="s">
        <v>229</v>
      </c>
      <c r="F3" s="1" t="s">
        <v>230</v>
      </c>
      <c r="G3" s="1" t="s">
        <v>231</v>
      </c>
      <c r="H3" s="1" t="s">
        <v>232</v>
      </c>
      <c r="I3" s="1" t="s">
        <v>165</v>
      </c>
      <c r="J3" s="1" t="s">
        <v>162</v>
      </c>
      <c r="K3" s="1" t="s">
        <v>233</v>
      </c>
      <c r="L3" s="1" t="s">
        <v>234</v>
      </c>
    </row>
    <row r="4" spans="1:12" ht="28">
      <c r="A4" s="4" t="s">
        <v>125</v>
      </c>
      <c r="B4" s="4" t="s">
        <v>235</v>
      </c>
      <c r="C4" s="4" t="s">
        <v>236</v>
      </c>
      <c r="D4" s="4" t="s">
        <v>237</v>
      </c>
      <c r="E4" s="4" t="s">
        <v>237</v>
      </c>
      <c r="F4" s="4"/>
      <c r="G4" s="4" t="s">
        <v>237</v>
      </c>
      <c r="H4" s="4" t="s">
        <v>162</v>
      </c>
      <c r="I4" s="16">
        <f>'02_Scorecard'!N4</f>
        <v>7.8125</v>
      </c>
      <c r="J4" s="4" t="s">
        <v>168</v>
      </c>
      <c r="K4" s="4" t="s">
        <v>238</v>
      </c>
      <c r="L4" s="4" t="s">
        <v>239</v>
      </c>
    </row>
    <row r="5" spans="1:12" ht="28">
      <c r="A5" s="4" t="s">
        <v>133</v>
      </c>
      <c r="B5" s="4" t="s">
        <v>237</v>
      </c>
      <c r="C5" s="4" t="s">
        <v>237</v>
      </c>
      <c r="D5" s="4" t="s">
        <v>237</v>
      </c>
      <c r="E5" s="4" t="s">
        <v>240</v>
      </c>
      <c r="F5" s="4" t="s">
        <v>237</v>
      </c>
      <c r="G5" s="4" t="s">
        <v>241</v>
      </c>
      <c r="H5" s="4"/>
      <c r="I5" s="16">
        <f>'02_Scorecard'!N5</f>
        <v>7.625</v>
      </c>
      <c r="J5" s="4" t="s">
        <v>171</v>
      </c>
      <c r="K5" s="4" t="s">
        <v>242</v>
      </c>
      <c r="L5" s="4" t="s">
        <v>243</v>
      </c>
    </row>
    <row r="6" spans="1:12" ht="28">
      <c r="A6" s="4" t="s">
        <v>138</v>
      </c>
      <c r="B6" s="4" t="s">
        <v>237</v>
      </c>
      <c r="C6" s="4" t="s">
        <v>237</v>
      </c>
      <c r="D6" s="4" t="s">
        <v>237</v>
      </c>
      <c r="E6" s="4" t="s">
        <v>240</v>
      </c>
      <c r="F6" s="4"/>
      <c r="G6" s="4" t="s">
        <v>237</v>
      </c>
      <c r="H6" s="4"/>
      <c r="I6" s="16">
        <f>'02_Scorecard'!N6</f>
        <v>8.4375</v>
      </c>
      <c r="J6" s="4" t="s">
        <v>174</v>
      </c>
      <c r="K6" s="4" t="s">
        <v>244</v>
      </c>
      <c r="L6" s="4" t="s">
        <v>245</v>
      </c>
    </row>
    <row r="7" spans="1:12" ht="28">
      <c r="A7" s="4" t="s">
        <v>143</v>
      </c>
      <c r="B7" s="4" t="s">
        <v>235</v>
      </c>
      <c r="C7" s="4" t="s">
        <v>246</v>
      </c>
      <c r="D7" s="4" t="s">
        <v>247</v>
      </c>
      <c r="E7" s="4" t="s">
        <v>237</v>
      </c>
      <c r="F7" s="4"/>
      <c r="G7" s="4" t="s">
        <v>241</v>
      </c>
      <c r="H7" s="4" t="s">
        <v>248</v>
      </c>
      <c r="I7" s="16">
        <f>'02_Scorecard'!N7</f>
        <v>8.0625</v>
      </c>
      <c r="J7" s="4" t="s">
        <v>174</v>
      </c>
      <c r="K7" s="4" t="s">
        <v>249</v>
      </c>
      <c r="L7" s="4" t="s">
        <v>250</v>
      </c>
    </row>
    <row r="8" spans="1:12" ht="28">
      <c r="A8" s="4" t="s">
        <v>147</v>
      </c>
      <c r="B8" s="4" t="s">
        <v>235</v>
      </c>
      <c r="C8" s="4" t="s">
        <v>237</v>
      </c>
      <c r="D8" s="4" t="s">
        <v>237</v>
      </c>
      <c r="E8" s="4" t="s">
        <v>240</v>
      </c>
      <c r="F8" s="4"/>
      <c r="G8" s="4" t="s">
        <v>237</v>
      </c>
      <c r="H8" s="4" t="s">
        <v>162</v>
      </c>
      <c r="I8" s="16">
        <f>'02_Scorecard'!N8</f>
        <v>7.8125</v>
      </c>
      <c r="J8" s="4" t="s">
        <v>179</v>
      </c>
      <c r="K8" s="4" t="s">
        <v>251</v>
      </c>
      <c r="L8" s="4" t="s">
        <v>252</v>
      </c>
    </row>
    <row r="9" spans="1:12">
      <c r="A9" s="3"/>
      <c r="B9" s="3"/>
      <c r="C9" s="3"/>
      <c r="D9" s="3"/>
      <c r="E9" s="3"/>
      <c r="F9" s="3"/>
      <c r="G9" s="3"/>
      <c r="H9" s="3"/>
      <c r="I9" s="9"/>
      <c r="J9" s="3"/>
      <c r="K9" s="3"/>
      <c r="L9" s="3"/>
    </row>
    <row r="10" spans="1:12">
      <c r="A10" s="3"/>
      <c r="B10" s="3"/>
      <c r="C10" s="3"/>
      <c r="D10" s="3"/>
      <c r="E10" s="3"/>
      <c r="F10" s="3"/>
      <c r="G10" s="3"/>
      <c r="H10" s="3"/>
      <c r="I10" s="9"/>
      <c r="J10" s="3"/>
      <c r="K10" s="3"/>
      <c r="L10" s="3"/>
    </row>
    <row r="11" spans="1:12">
      <c r="A11" s="3"/>
      <c r="B11" s="3"/>
      <c r="C11" s="3"/>
      <c r="D11" s="3"/>
      <c r="E11" s="3"/>
      <c r="F11" s="3"/>
      <c r="G11" s="3"/>
      <c r="H11" s="3"/>
      <c r="I11" s="9"/>
      <c r="J11" s="3"/>
      <c r="K11" s="3"/>
      <c r="L11" s="3"/>
    </row>
    <row r="12" spans="1:12">
      <c r="A12" s="3"/>
      <c r="B12" s="3"/>
      <c r="C12" s="3"/>
      <c r="D12" s="3"/>
      <c r="E12" s="3"/>
      <c r="F12" s="3"/>
      <c r="G12" s="3"/>
      <c r="H12" s="3"/>
      <c r="I12" s="9"/>
      <c r="J12" s="3"/>
      <c r="K12" s="3"/>
      <c r="L12" s="3"/>
    </row>
    <row r="13" spans="1:12">
      <c r="A13" s="3"/>
      <c r="B13" s="3"/>
      <c r="C13" s="3"/>
      <c r="D13" s="3"/>
      <c r="E13" s="3"/>
      <c r="F13" s="3"/>
      <c r="G13" s="3"/>
      <c r="H13" s="3"/>
      <c r="I13" s="9"/>
      <c r="J13" s="3"/>
      <c r="K13" s="3"/>
      <c r="L13" s="3"/>
    </row>
    <row r="14" spans="1:12">
      <c r="A14" s="3"/>
      <c r="B14" s="3"/>
      <c r="C14" s="3"/>
      <c r="D14" s="3"/>
      <c r="E14" s="3"/>
      <c r="F14" s="3"/>
      <c r="G14" s="3"/>
      <c r="H14" s="3"/>
      <c r="I14" s="9"/>
      <c r="J14" s="3"/>
      <c r="K14" s="3"/>
      <c r="L14" s="3"/>
    </row>
    <row r="15" spans="1:12">
      <c r="A15" s="3"/>
      <c r="B15" s="3"/>
      <c r="C15" s="3"/>
      <c r="D15" s="3"/>
      <c r="E15" s="3"/>
      <c r="F15" s="3"/>
      <c r="G15" s="3"/>
      <c r="H15" s="3"/>
      <c r="I15" s="9"/>
      <c r="J15" s="3"/>
      <c r="K15" s="3"/>
      <c r="L15" s="3"/>
    </row>
    <row r="16" spans="1:12">
      <c r="A16" s="3"/>
      <c r="B16" s="3"/>
      <c r="C16" s="3"/>
      <c r="D16" s="3"/>
      <c r="E16" s="3"/>
      <c r="F16" s="3"/>
      <c r="G16" s="3"/>
      <c r="H16" s="3"/>
      <c r="I16" s="9"/>
      <c r="J16" s="3"/>
      <c r="K16" s="3"/>
      <c r="L16" s="3"/>
    </row>
    <row r="17" spans="1:12">
      <c r="A17" s="3"/>
      <c r="B17" s="3"/>
      <c r="C17" s="3"/>
      <c r="D17" s="3"/>
      <c r="E17" s="3"/>
      <c r="F17" s="3"/>
      <c r="G17" s="3"/>
      <c r="H17" s="3"/>
      <c r="I17" s="9"/>
      <c r="J17" s="3"/>
      <c r="K17" s="3"/>
      <c r="L17" s="3"/>
    </row>
    <row r="18" spans="1:12">
      <c r="A18" s="3"/>
      <c r="B18" s="3"/>
      <c r="C18" s="3"/>
      <c r="D18" s="3"/>
      <c r="E18" s="3"/>
      <c r="F18" s="3"/>
      <c r="G18" s="3"/>
      <c r="H18" s="3"/>
      <c r="I18" s="9"/>
      <c r="J18" s="3"/>
      <c r="K18" s="3"/>
      <c r="L18" s="3"/>
    </row>
    <row r="19" spans="1:12">
      <c r="A19" s="3"/>
      <c r="B19" s="3"/>
      <c r="C19" s="3"/>
      <c r="D19" s="3"/>
      <c r="E19" s="3"/>
      <c r="F19" s="3"/>
      <c r="G19" s="3"/>
      <c r="H19" s="3"/>
      <c r="I19" s="9"/>
      <c r="J19" s="3"/>
      <c r="K19" s="3"/>
      <c r="L19" s="3"/>
    </row>
    <row r="20" spans="1:12">
      <c r="A20" s="3"/>
      <c r="B20" s="3"/>
      <c r="C20" s="3"/>
      <c r="D20" s="3"/>
      <c r="E20" s="3"/>
      <c r="F20" s="3"/>
      <c r="G20" s="3"/>
      <c r="H20" s="3"/>
      <c r="I20" s="9"/>
      <c r="J20" s="3"/>
      <c r="K20" s="3"/>
      <c r="L20" s="3"/>
    </row>
    <row r="21" spans="1:12">
      <c r="A21" s="3"/>
      <c r="B21" s="3"/>
      <c r="C21" s="3"/>
      <c r="D21" s="3"/>
      <c r="E21" s="3"/>
      <c r="F21" s="3"/>
      <c r="G21" s="3"/>
      <c r="H21" s="3"/>
      <c r="I21" s="9"/>
      <c r="J21" s="3"/>
      <c r="K21" s="3"/>
      <c r="L21" s="3"/>
    </row>
    <row r="22" spans="1:12">
      <c r="A22" s="3"/>
      <c r="B22" s="3"/>
      <c r="C22" s="3"/>
      <c r="D22" s="3"/>
      <c r="E22" s="3"/>
      <c r="F22" s="3"/>
      <c r="G22" s="3"/>
      <c r="H22" s="3"/>
      <c r="I22" s="9"/>
      <c r="J22" s="3"/>
      <c r="K22" s="3"/>
      <c r="L22" s="3"/>
    </row>
    <row r="23" spans="1:12">
      <c r="A23" s="3"/>
      <c r="B23" s="3"/>
      <c r="C23" s="3"/>
      <c r="D23" s="3"/>
      <c r="E23" s="3"/>
      <c r="F23" s="3"/>
      <c r="G23" s="3"/>
      <c r="H23" s="3"/>
      <c r="I23" s="9"/>
      <c r="J23" s="3"/>
      <c r="K23" s="3"/>
      <c r="L23" s="3"/>
    </row>
    <row r="24" spans="1:12">
      <c r="A24" s="3"/>
      <c r="B24" s="3"/>
      <c r="C24" s="3"/>
      <c r="D24" s="3"/>
      <c r="E24" s="3"/>
      <c r="F24" s="3"/>
      <c r="G24" s="3"/>
      <c r="H24" s="3"/>
      <c r="I24" s="9"/>
      <c r="J24" s="3"/>
      <c r="K24" s="3"/>
      <c r="L24" s="3"/>
    </row>
    <row r="25" spans="1:12">
      <c r="A25" s="3"/>
      <c r="B25" s="3"/>
      <c r="C25" s="3"/>
      <c r="D25" s="3"/>
      <c r="E25" s="3"/>
      <c r="F25" s="3"/>
      <c r="G25" s="3"/>
      <c r="H25" s="3"/>
      <c r="I25" s="9"/>
      <c r="J25" s="3"/>
      <c r="K25" s="3"/>
      <c r="L25" s="3"/>
    </row>
    <row r="26" spans="1:12">
      <c r="A26" s="3"/>
      <c r="B26" s="3"/>
      <c r="C26" s="3"/>
      <c r="D26" s="3"/>
      <c r="E26" s="3"/>
      <c r="F26" s="3"/>
      <c r="G26" s="3"/>
      <c r="H26" s="3"/>
      <c r="I26" s="9"/>
      <c r="J26" s="3"/>
      <c r="K26" s="3"/>
      <c r="L26" s="3"/>
    </row>
    <row r="27" spans="1:12">
      <c r="A27" s="3"/>
      <c r="B27" s="3"/>
      <c r="C27" s="3"/>
      <c r="D27" s="3"/>
      <c r="E27" s="3"/>
      <c r="F27" s="3"/>
      <c r="G27" s="3"/>
      <c r="H27" s="3"/>
      <c r="I27" s="9"/>
      <c r="J27" s="3"/>
      <c r="K27" s="3"/>
      <c r="L27" s="3"/>
    </row>
    <row r="28" spans="1:12">
      <c r="A28" s="3"/>
      <c r="B28" s="3"/>
      <c r="C28" s="3"/>
      <c r="D28" s="3"/>
      <c r="E28" s="3"/>
      <c r="F28" s="3"/>
      <c r="G28" s="3"/>
      <c r="H28" s="3"/>
      <c r="I28" s="9"/>
      <c r="J28" s="3"/>
      <c r="K28" s="3"/>
      <c r="L28" s="3"/>
    </row>
    <row r="29" spans="1:12">
      <c r="A29" s="3"/>
      <c r="B29" s="3"/>
      <c r="C29" s="3"/>
      <c r="D29" s="3"/>
      <c r="E29" s="3"/>
      <c r="F29" s="3"/>
      <c r="G29" s="3"/>
      <c r="H29" s="3"/>
      <c r="I29" s="9"/>
      <c r="J29" s="3"/>
      <c r="K29" s="3"/>
      <c r="L29" s="3"/>
    </row>
    <row r="30" spans="1:12">
      <c r="A30" s="3"/>
      <c r="B30" s="3"/>
      <c r="C30" s="3"/>
      <c r="D30" s="3"/>
      <c r="E30" s="3"/>
      <c r="F30" s="3"/>
      <c r="G30" s="3"/>
      <c r="H30" s="3"/>
      <c r="I30" s="9"/>
      <c r="J30" s="3"/>
      <c r="K30" s="3"/>
      <c r="L30" s="3"/>
    </row>
    <row r="31" spans="1:12">
      <c r="A31" s="3"/>
      <c r="B31" s="3"/>
      <c r="C31" s="3"/>
      <c r="D31" s="3"/>
      <c r="E31" s="3"/>
      <c r="F31" s="3"/>
      <c r="G31" s="3"/>
      <c r="H31" s="3"/>
      <c r="I31" s="9"/>
      <c r="J31" s="3"/>
      <c r="K31" s="3"/>
      <c r="L31" s="3"/>
    </row>
    <row r="32" spans="1:12">
      <c r="A32" s="3"/>
      <c r="B32" s="3"/>
      <c r="C32" s="3"/>
      <c r="D32" s="3"/>
      <c r="E32" s="3"/>
      <c r="F32" s="3"/>
      <c r="G32" s="3"/>
      <c r="H32" s="3"/>
      <c r="I32" s="9"/>
      <c r="J32" s="3"/>
      <c r="K32" s="3"/>
      <c r="L32" s="3"/>
    </row>
    <row r="33" spans="1:12">
      <c r="A33" s="3"/>
      <c r="B33" s="3"/>
      <c r="C33" s="3"/>
      <c r="D33" s="3"/>
      <c r="E33" s="3"/>
      <c r="F33" s="3"/>
      <c r="G33" s="3"/>
      <c r="H33" s="3"/>
      <c r="I33" s="9"/>
      <c r="J33" s="3"/>
      <c r="K33" s="3"/>
      <c r="L33" s="3"/>
    </row>
    <row r="34" spans="1:12">
      <c r="A34" s="3"/>
      <c r="B34" s="3"/>
      <c r="C34" s="3"/>
      <c r="D34" s="3"/>
      <c r="E34" s="3"/>
      <c r="F34" s="3"/>
      <c r="G34" s="3"/>
      <c r="H34" s="3"/>
      <c r="I34" s="9"/>
      <c r="J34" s="3"/>
      <c r="K34" s="3"/>
      <c r="L34" s="3"/>
    </row>
    <row r="35" spans="1:12">
      <c r="A35" s="3"/>
      <c r="B35" s="3"/>
      <c r="C35" s="3"/>
      <c r="D35" s="3"/>
      <c r="E35" s="3"/>
      <c r="F35" s="3"/>
      <c r="G35" s="3"/>
      <c r="H35" s="3"/>
      <c r="I35" s="9"/>
      <c r="J35" s="3"/>
      <c r="K35" s="3"/>
      <c r="L35" s="3"/>
    </row>
    <row r="36" spans="1:12">
      <c r="A36" s="3"/>
      <c r="B36" s="3"/>
      <c r="C36" s="3"/>
      <c r="D36" s="3"/>
      <c r="E36" s="3"/>
      <c r="F36" s="3"/>
      <c r="G36" s="3"/>
      <c r="H36" s="3"/>
      <c r="I36" s="9"/>
      <c r="J36" s="3"/>
      <c r="K36" s="3"/>
      <c r="L36" s="3"/>
    </row>
    <row r="37" spans="1:12">
      <c r="A37" s="3"/>
      <c r="B37" s="3"/>
      <c r="C37" s="3"/>
      <c r="D37" s="3"/>
      <c r="E37" s="3"/>
      <c r="F37" s="3"/>
      <c r="G37" s="3"/>
      <c r="H37" s="3"/>
      <c r="I37" s="9"/>
      <c r="J37" s="3"/>
      <c r="K37" s="3"/>
      <c r="L37" s="3"/>
    </row>
    <row r="38" spans="1:12">
      <c r="A38" s="3"/>
      <c r="B38" s="3"/>
      <c r="C38" s="3"/>
      <c r="D38" s="3"/>
      <c r="E38" s="3"/>
      <c r="F38" s="3"/>
      <c r="G38" s="3"/>
      <c r="H38" s="3"/>
      <c r="I38" s="9"/>
      <c r="J38" s="3"/>
      <c r="K38" s="3"/>
      <c r="L38" s="3"/>
    </row>
    <row r="39" spans="1:12">
      <c r="A39" s="3"/>
      <c r="B39" s="3"/>
      <c r="C39" s="3"/>
      <c r="D39" s="3"/>
      <c r="E39" s="3"/>
      <c r="F39" s="3"/>
      <c r="G39" s="3"/>
      <c r="H39" s="3"/>
      <c r="I39" s="9"/>
      <c r="J39" s="3"/>
      <c r="K39" s="3"/>
      <c r="L39" s="3"/>
    </row>
    <row r="40" spans="1:12">
      <c r="A40" s="3"/>
      <c r="B40" s="3"/>
      <c r="C40" s="3"/>
      <c r="D40" s="3"/>
      <c r="E40" s="3"/>
      <c r="F40" s="3"/>
      <c r="G40" s="3"/>
      <c r="H40" s="3"/>
      <c r="I40" s="9"/>
      <c r="J40" s="3"/>
      <c r="K40" s="3"/>
      <c r="L40" s="3"/>
    </row>
    <row r="41" spans="1:12">
      <c r="A41" s="3"/>
      <c r="B41" s="3"/>
      <c r="C41" s="3"/>
      <c r="D41" s="3"/>
      <c r="E41" s="3"/>
      <c r="F41" s="3"/>
      <c r="G41" s="3"/>
      <c r="H41" s="3"/>
      <c r="I41" s="9"/>
      <c r="J41" s="3"/>
      <c r="K41" s="3"/>
      <c r="L41" s="3"/>
    </row>
    <row r="42" spans="1:12">
      <c r="A42" s="3"/>
      <c r="B42" s="3"/>
      <c r="C42" s="3"/>
      <c r="D42" s="3"/>
      <c r="E42" s="3"/>
      <c r="F42" s="3"/>
      <c r="G42" s="3"/>
      <c r="H42" s="3"/>
      <c r="I42" s="9"/>
      <c r="J42" s="3"/>
      <c r="K42" s="3"/>
      <c r="L42" s="3"/>
    </row>
    <row r="43" spans="1:12">
      <c r="A43" s="3"/>
      <c r="B43" s="3"/>
      <c r="C43" s="3"/>
      <c r="D43" s="3"/>
      <c r="E43" s="3"/>
      <c r="F43" s="3"/>
      <c r="G43" s="3"/>
      <c r="H43" s="3"/>
      <c r="I43" s="9"/>
      <c r="J43" s="3"/>
      <c r="K43" s="3"/>
      <c r="L43" s="3"/>
    </row>
    <row r="44" spans="1:12">
      <c r="A44" s="3"/>
      <c r="B44" s="3"/>
      <c r="C44" s="3"/>
      <c r="D44" s="3"/>
      <c r="E44" s="3"/>
      <c r="F44" s="3"/>
      <c r="G44" s="3"/>
      <c r="H44" s="3"/>
      <c r="I44" s="9"/>
      <c r="J44" s="3"/>
      <c r="K44" s="3"/>
      <c r="L44" s="3"/>
    </row>
    <row r="45" spans="1:12">
      <c r="A45" s="3"/>
      <c r="B45" s="3"/>
      <c r="C45" s="3"/>
      <c r="D45" s="3"/>
      <c r="E45" s="3"/>
      <c r="F45" s="3"/>
      <c r="G45" s="3"/>
      <c r="H45" s="3"/>
      <c r="I45" s="9"/>
      <c r="J45" s="3"/>
      <c r="K45" s="3"/>
      <c r="L45" s="3"/>
    </row>
    <row r="46" spans="1:12">
      <c r="A46" s="3"/>
      <c r="B46" s="3"/>
      <c r="C46" s="3"/>
      <c r="D46" s="3"/>
      <c r="E46" s="3"/>
      <c r="F46" s="3"/>
      <c r="G46" s="3"/>
      <c r="H46" s="3"/>
      <c r="I46" s="9"/>
      <c r="J46" s="3"/>
      <c r="K46" s="3"/>
      <c r="L46" s="3"/>
    </row>
    <row r="47" spans="1:12">
      <c r="A47" s="3"/>
      <c r="B47" s="3"/>
      <c r="C47" s="3"/>
      <c r="D47" s="3"/>
      <c r="E47" s="3"/>
      <c r="F47" s="3"/>
      <c r="G47" s="3"/>
      <c r="H47" s="3"/>
      <c r="I47" s="9"/>
      <c r="J47" s="3"/>
      <c r="K47" s="3"/>
      <c r="L47" s="3"/>
    </row>
    <row r="48" spans="1:12">
      <c r="A48" s="3"/>
      <c r="B48" s="3"/>
      <c r="C48" s="3"/>
      <c r="D48" s="3"/>
      <c r="E48" s="3"/>
      <c r="F48" s="3"/>
      <c r="G48" s="3"/>
      <c r="H48" s="3"/>
      <c r="I48" s="9"/>
      <c r="J48" s="3"/>
      <c r="K48" s="3"/>
      <c r="L48" s="3"/>
    </row>
    <row r="49" spans="1:12">
      <c r="A49" s="3"/>
      <c r="B49" s="3"/>
      <c r="C49" s="3"/>
      <c r="D49" s="3"/>
      <c r="E49" s="3"/>
      <c r="F49" s="3"/>
      <c r="G49" s="3"/>
      <c r="H49" s="3"/>
      <c r="I49" s="9"/>
      <c r="J49" s="3"/>
      <c r="K49" s="3"/>
      <c r="L49" s="3"/>
    </row>
    <row r="50" spans="1:12">
      <c r="A50" s="3"/>
      <c r="B50" s="3"/>
      <c r="C50" s="3"/>
      <c r="D50" s="3"/>
      <c r="E50" s="3"/>
      <c r="F50" s="3"/>
      <c r="G50" s="3"/>
      <c r="H50" s="3"/>
      <c r="I50" s="9"/>
      <c r="J50" s="3"/>
      <c r="K50" s="3"/>
      <c r="L50" s="3"/>
    </row>
    <row r="51" spans="1:12">
      <c r="A51" s="3"/>
      <c r="B51" s="3"/>
      <c r="C51" s="3"/>
      <c r="D51" s="3"/>
      <c r="E51" s="3"/>
      <c r="F51" s="3"/>
      <c r="G51" s="3"/>
      <c r="H51" s="3"/>
      <c r="I51" s="9"/>
      <c r="J51" s="3"/>
      <c r="K51" s="3"/>
      <c r="L51" s="3"/>
    </row>
    <row r="52" spans="1:12">
      <c r="A52" s="3"/>
      <c r="B52" s="3"/>
      <c r="C52" s="3"/>
      <c r="D52" s="3"/>
      <c r="E52" s="3"/>
      <c r="F52" s="3"/>
      <c r="G52" s="3"/>
      <c r="H52" s="3"/>
      <c r="I52" s="9"/>
      <c r="J52" s="3"/>
      <c r="K52" s="3"/>
      <c r="L52" s="3"/>
    </row>
    <row r="53" spans="1:12">
      <c r="A53" s="3"/>
      <c r="B53" s="3"/>
      <c r="C53" s="3"/>
      <c r="D53" s="3"/>
      <c r="E53" s="3"/>
      <c r="F53" s="3"/>
      <c r="G53" s="3"/>
      <c r="H53" s="3"/>
      <c r="I53" s="9"/>
      <c r="J53" s="3"/>
      <c r="K53" s="3"/>
      <c r="L53" s="3"/>
    </row>
    <row r="54" spans="1:12">
      <c r="A54" s="3"/>
      <c r="B54" s="3"/>
      <c r="C54" s="3"/>
      <c r="D54" s="3"/>
      <c r="E54" s="3"/>
      <c r="F54" s="3"/>
      <c r="G54" s="3"/>
      <c r="H54" s="3"/>
      <c r="I54" s="9"/>
      <c r="J54" s="3"/>
      <c r="K54" s="3"/>
      <c r="L54" s="3"/>
    </row>
    <row r="55" spans="1:12">
      <c r="A55" s="3"/>
      <c r="B55" s="3"/>
      <c r="C55" s="3"/>
      <c r="D55" s="3"/>
      <c r="E55" s="3"/>
      <c r="F55" s="3"/>
      <c r="G55" s="3"/>
      <c r="H55" s="3"/>
      <c r="I55" s="9"/>
      <c r="J55" s="3"/>
      <c r="K55" s="3"/>
      <c r="L55" s="3"/>
    </row>
    <row r="56" spans="1:12">
      <c r="A56" s="3"/>
      <c r="B56" s="3"/>
      <c r="C56" s="3"/>
      <c r="D56" s="3"/>
      <c r="E56" s="3"/>
      <c r="F56" s="3"/>
      <c r="G56" s="3"/>
      <c r="H56" s="3"/>
      <c r="I56" s="9"/>
      <c r="J56" s="3"/>
      <c r="K56" s="3"/>
      <c r="L56" s="3"/>
    </row>
    <row r="57" spans="1:12">
      <c r="A57" s="3"/>
      <c r="B57" s="3"/>
      <c r="C57" s="3"/>
      <c r="D57" s="3"/>
      <c r="E57" s="3"/>
      <c r="F57" s="3"/>
      <c r="G57" s="3"/>
      <c r="H57" s="3"/>
      <c r="I57" s="9"/>
      <c r="J57" s="3"/>
      <c r="K57" s="3"/>
      <c r="L57" s="3"/>
    </row>
    <row r="58" spans="1:12">
      <c r="A58" s="3"/>
      <c r="B58" s="3"/>
      <c r="C58" s="3"/>
      <c r="D58" s="3"/>
      <c r="E58" s="3"/>
      <c r="F58" s="3"/>
      <c r="G58" s="3"/>
      <c r="H58" s="3"/>
      <c r="I58" s="9"/>
      <c r="J58" s="3"/>
      <c r="K58" s="3"/>
      <c r="L58" s="3"/>
    </row>
    <row r="59" spans="1:12">
      <c r="A59" s="3"/>
      <c r="B59" s="3"/>
      <c r="C59" s="3"/>
      <c r="D59" s="3"/>
      <c r="E59" s="3"/>
      <c r="F59" s="3"/>
      <c r="G59" s="3"/>
      <c r="H59" s="3"/>
      <c r="I59" s="9"/>
      <c r="J59" s="3"/>
      <c r="K59" s="3"/>
      <c r="L59" s="3"/>
    </row>
    <row r="60" spans="1:12">
      <c r="A60" s="3"/>
      <c r="B60" s="3"/>
      <c r="C60" s="3"/>
      <c r="D60" s="3"/>
      <c r="E60" s="3"/>
      <c r="F60" s="3"/>
      <c r="G60" s="3"/>
      <c r="H60" s="3"/>
      <c r="I60" s="9"/>
      <c r="J60" s="3"/>
      <c r="K60" s="3"/>
      <c r="L60" s="3"/>
    </row>
    <row r="61" spans="1:12">
      <c r="A61" s="3"/>
      <c r="B61" s="3"/>
      <c r="C61" s="3"/>
      <c r="D61" s="3"/>
      <c r="E61" s="3"/>
      <c r="F61" s="3"/>
      <c r="G61" s="3"/>
      <c r="H61" s="3"/>
      <c r="I61" s="9"/>
      <c r="J61" s="3"/>
      <c r="K61" s="3"/>
      <c r="L61" s="3"/>
    </row>
    <row r="62" spans="1:12">
      <c r="A62" s="3"/>
      <c r="B62" s="3"/>
      <c r="C62" s="3"/>
      <c r="D62" s="3"/>
      <c r="E62" s="3"/>
      <c r="F62" s="3"/>
      <c r="G62" s="3"/>
      <c r="H62" s="3"/>
      <c r="I62" s="9"/>
      <c r="J62" s="3"/>
      <c r="K62" s="3"/>
      <c r="L62" s="3"/>
    </row>
    <row r="63" spans="1:12">
      <c r="A63" s="3"/>
      <c r="B63" s="3"/>
      <c r="C63" s="3"/>
      <c r="D63" s="3"/>
      <c r="E63" s="3"/>
      <c r="F63" s="3"/>
      <c r="G63" s="3"/>
      <c r="H63" s="3"/>
      <c r="I63" s="9"/>
      <c r="J63" s="3"/>
      <c r="K63" s="3"/>
      <c r="L63" s="3"/>
    </row>
    <row r="64" spans="1:12">
      <c r="A64" s="3"/>
      <c r="B64" s="3"/>
      <c r="C64" s="3"/>
      <c r="D64" s="3"/>
      <c r="E64" s="3"/>
      <c r="F64" s="3"/>
      <c r="G64" s="3"/>
      <c r="H64" s="3"/>
      <c r="I64" s="9"/>
      <c r="J64" s="3"/>
      <c r="K64" s="3"/>
      <c r="L64" s="3"/>
    </row>
    <row r="65" spans="1:12">
      <c r="A65" s="3"/>
      <c r="B65" s="3"/>
      <c r="C65" s="3"/>
      <c r="D65" s="3"/>
      <c r="E65" s="3"/>
      <c r="F65" s="3"/>
      <c r="G65" s="3"/>
      <c r="H65" s="3"/>
      <c r="I65" s="9"/>
      <c r="J65" s="3"/>
      <c r="K65" s="3"/>
      <c r="L65" s="3"/>
    </row>
    <row r="66" spans="1:12">
      <c r="A66" s="3"/>
      <c r="B66" s="3"/>
      <c r="C66" s="3"/>
      <c r="D66" s="3"/>
      <c r="E66" s="3"/>
      <c r="F66" s="3"/>
      <c r="G66" s="3"/>
      <c r="H66" s="3"/>
      <c r="I66" s="9"/>
      <c r="J66" s="3"/>
      <c r="K66" s="3"/>
      <c r="L66" s="3"/>
    </row>
    <row r="67" spans="1:12">
      <c r="A67" s="3"/>
      <c r="B67" s="3"/>
      <c r="C67" s="3"/>
      <c r="D67" s="3"/>
      <c r="E67" s="3"/>
      <c r="F67" s="3"/>
      <c r="G67" s="3"/>
      <c r="H67" s="3"/>
      <c r="I67" s="9"/>
      <c r="J67" s="3"/>
      <c r="K67" s="3"/>
      <c r="L67" s="3"/>
    </row>
    <row r="68" spans="1:12">
      <c r="A68" s="3"/>
      <c r="B68" s="3"/>
      <c r="C68" s="3"/>
      <c r="D68" s="3"/>
      <c r="E68" s="3"/>
      <c r="F68" s="3"/>
      <c r="G68" s="3"/>
      <c r="H68" s="3"/>
      <c r="I68" s="9"/>
      <c r="J68" s="3"/>
      <c r="K68" s="3"/>
      <c r="L68" s="3"/>
    </row>
    <row r="69" spans="1:12">
      <c r="A69" s="3"/>
      <c r="B69" s="3"/>
      <c r="C69" s="3"/>
      <c r="D69" s="3"/>
      <c r="E69" s="3"/>
      <c r="F69" s="3"/>
      <c r="G69" s="3"/>
      <c r="H69" s="3"/>
      <c r="I69" s="9"/>
      <c r="J69" s="3"/>
      <c r="K69" s="3"/>
      <c r="L69" s="3"/>
    </row>
    <row r="70" spans="1:12">
      <c r="A70" s="3"/>
      <c r="B70" s="3"/>
      <c r="C70" s="3"/>
      <c r="D70" s="3"/>
      <c r="E70" s="3"/>
      <c r="F70" s="3"/>
      <c r="G70" s="3"/>
      <c r="H70" s="3"/>
      <c r="I70" s="9"/>
      <c r="J70" s="3"/>
      <c r="K70" s="3"/>
      <c r="L70" s="3"/>
    </row>
    <row r="71" spans="1:12">
      <c r="A71" s="3"/>
      <c r="B71" s="3"/>
      <c r="C71" s="3"/>
      <c r="D71" s="3"/>
      <c r="E71" s="3"/>
      <c r="F71" s="3"/>
      <c r="G71" s="3"/>
      <c r="H71" s="3"/>
      <c r="I71" s="9"/>
      <c r="J71" s="3"/>
      <c r="K71" s="3"/>
      <c r="L71" s="3"/>
    </row>
    <row r="72" spans="1:12">
      <c r="A72" s="3"/>
      <c r="B72" s="3"/>
      <c r="C72" s="3"/>
      <c r="D72" s="3"/>
      <c r="E72" s="3"/>
      <c r="F72" s="3"/>
      <c r="G72" s="3"/>
      <c r="H72" s="3"/>
      <c r="I72" s="9"/>
      <c r="J72" s="3"/>
      <c r="K72" s="3"/>
      <c r="L72" s="3"/>
    </row>
    <row r="73" spans="1:12">
      <c r="A73" s="3"/>
      <c r="B73" s="3"/>
      <c r="C73" s="3"/>
      <c r="D73" s="3"/>
      <c r="E73" s="3"/>
      <c r="F73" s="3"/>
      <c r="G73" s="3"/>
      <c r="H73" s="3"/>
      <c r="I73" s="9"/>
      <c r="J73" s="3"/>
      <c r="K73" s="3"/>
      <c r="L73" s="3"/>
    </row>
    <row r="74" spans="1:12">
      <c r="A74" s="3"/>
      <c r="B74" s="3"/>
      <c r="C74" s="3"/>
      <c r="D74" s="3"/>
      <c r="E74" s="3"/>
      <c r="F74" s="3"/>
      <c r="G74" s="3"/>
      <c r="H74" s="3"/>
      <c r="I74" s="9"/>
      <c r="J74" s="3"/>
      <c r="K74" s="3"/>
      <c r="L74" s="3"/>
    </row>
    <row r="75" spans="1:12">
      <c r="A75" s="3"/>
      <c r="B75" s="3"/>
      <c r="C75" s="3"/>
      <c r="D75" s="3"/>
      <c r="E75" s="3"/>
      <c r="F75" s="3"/>
      <c r="G75" s="3"/>
      <c r="H75" s="3"/>
      <c r="I75" s="9"/>
      <c r="J75" s="3"/>
      <c r="K75" s="3"/>
      <c r="L75" s="3"/>
    </row>
    <row r="76" spans="1:12">
      <c r="A76" s="3"/>
      <c r="B76" s="3"/>
      <c r="C76" s="3"/>
      <c r="D76" s="3"/>
      <c r="E76" s="3"/>
      <c r="F76" s="3"/>
      <c r="G76" s="3"/>
      <c r="H76" s="3"/>
      <c r="I76" s="9"/>
      <c r="J76" s="3"/>
      <c r="K76" s="3"/>
      <c r="L76" s="3"/>
    </row>
    <row r="77" spans="1:12">
      <c r="A77" s="3"/>
      <c r="B77" s="3"/>
      <c r="C77" s="3"/>
      <c r="D77" s="3"/>
      <c r="E77" s="3"/>
      <c r="F77" s="3"/>
      <c r="G77" s="3"/>
      <c r="H77" s="3"/>
      <c r="I77" s="9"/>
      <c r="J77" s="3"/>
      <c r="K77" s="3"/>
      <c r="L77" s="3"/>
    </row>
    <row r="78" spans="1:12">
      <c r="A78" s="3"/>
      <c r="B78" s="3"/>
      <c r="C78" s="3"/>
      <c r="D78" s="3"/>
      <c r="E78" s="3"/>
      <c r="F78" s="3"/>
      <c r="G78" s="3"/>
      <c r="H78" s="3"/>
      <c r="I78" s="9"/>
      <c r="J78" s="3"/>
      <c r="K78" s="3"/>
      <c r="L78" s="3"/>
    </row>
    <row r="79" spans="1:12">
      <c r="A79" s="3"/>
      <c r="B79" s="3"/>
      <c r="C79" s="3"/>
      <c r="D79" s="3"/>
      <c r="E79" s="3"/>
      <c r="F79" s="3"/>
      <c r="G79" s="3"/>
      <c r="H79" s="3"/>
      <c r="I79" s="9"/>
      <c r="J79" s="3"/>
      <c r="K79" s="3"/>
      <c r="L79" s="3"/>
    </row>
    <row r="80" spans="1:12">
      <c r="A80" s="3"/>
      <c r="B80" s="3"/>
      <c r="C80" s="3"/>
      <c r="D80" s="3"/>
      <c r="E80" s="3"/>
      <c r="F80" s="3"/>
      <c r="G80" s="3"/>
      <c r="H80" s="3"/>
      <c r="I80" s="9"/>
      <c r="J80" s="3"/>
      <c r="K80" s="3"/>
      <c r="L80" s="3"/>
    </row>
    <row r="81" spans="1:12">
      <c r="A81" s="3"/>
      <c r="B81" s="3"/>
      <c r="C81" s="3"/>
      <c r="D81" s="3"/>
      <c r="E81" s="3"/>
      <c r="F81" s="3"/>
      <c r="G81" s="3"/>
      <c r="H81" s="3"/>
      <c r="I81" s="9"/>
      <c r="J81" s="3"/>
      <c r="K81" s="3"/>
      <c r="L81" s="3"/>
    </row>
    <row r="82" spans="1:12">
      <c r="A82" s="3"/>
      <c r="B82" s="3"/>
      <c r="C82" s="3"/>
      <c r="D82" s="3"/>
      <c r="E82" s="3"/>
      <c r="F82" s="3"/>
      <c r="G82" s="3"/>
      <c r="H82" s="3"/>
      <c r="I82" s="9"/>
      <c r="J82" s="3"/>
      <c r="K82" s="3"/>
      <c r="L82" s="3"/>
    </row>
    <row r="83" spans="1:12">
      <c r="A83" s="3"/>
      <c r="B83" s="3"/>
      <c r="C83" s="3"/>
      <c r="D83" s="3"/>
      <c r="E83" s="3"/>
      <c r="F83" s="3"/>
      <c r="G83" s="3"/>
      <c r="H83" s="3"/>
      <c r="I83" s="9"/>
      <c r="J83" s="3"/>
      <c r="K83" s="3"/>
      <c r="L83" s="3"/>
    </row>
    <row r="84" spans="1:12">
      <c r="A84" s="3"/>
      <c r="B84" s="3"/>
      <c r="C84" s="3"/>
      <c r="D84" s="3"/>
      <c r="E84" s="3"/>
      <c r="F84" s="3"/>
      <c r="G84" s="3"/>
      <c r="H84" s="3"/>
      <c r="I84" s="9"/>
      <c r="J84" s="3"/>
      <c r="K84" s="3"/>
      <c r="L84" s="3"/>
    </row>
    <row r="85" spans="1:12">
      <c r="A85" s="3"/>
      <c r="B85" s="3"/>
      <c r="C85" s="3"/>
      <c r="D85" s="3"/>
      <c r="E85" s="3"/>
      <c r="F85" s="3"/>
      <c r="G85" s="3"/>
      <c r="H85" s="3"/>
      <c r="I85" s="9"/>
      <c r="J85" s="3"/>
      <c r="K85" s="3"/>
      <c r="L85" s="3"/>
    </row>
    <row r="86" spans="1:12">
      <c r="A86" s="3"/>
      <c r="B86" s="3"/>
      <c r="C86" s="3"/>
      <c r="D86" s="3"/>
      <c r="E86" s="3"/>
      <c r="F86" s="3"/>
      <c r="G86" s="3"/>
      <c r="H86" s="3"/>
      <c r="I86" s="9"/>
      <c r="J86" s="3"/>
      <c r="K86" s="3"/>
      <c r="L86" s="3"/>
    </row>
    <row r="87" spans="1:12">
      <c r="A87" s="3"/>
      <c r="B87" s="3"/>
      <c r="C87" s="3"/>
      <c r="D87" s="3"/>
      <c r="E87" s="3"/>
      <c r="F87" s="3"/>
      <c r="G87" s="3"/>
      <c r="H87" s="3"/>
      <c r="I87" s="9"/>
      <c r="J87" s="3"/>
      <c r="K87" s="3"/>
      <c r="L87" s="3"/>
    </row>
    <row r="88" spans="1:12">
      <c r="A88" s="3"/>
      <c r="B88" s="3"/>
      <c r="C88" s="3"/>
      <c r="D88" s="3"/>
      <c r="E88" s="3"/>
      <c r="F88" s="3"/>
      <c r="G88" s="3"/>
      <c r="H88" s="3"/>
      <c r="I88" s="9"/>
      <c r="J88" s="3"/>
      <c r="K88" s="3"/>
      <c r="L88" s="3"/>
    </row>
    <row r="89" spans="1:12">
      <c r="A89" s="3"/>
      <c r="B89" s="3"/>
      <c r="C89" s="3"/>
      <c r="D89" s="3"/>
      <c r="E89" s="3"/>
      <c r="F89" s="3"/>
      <c r="G89" s="3"/>
      <c r="H89" s="3"/>
      <c r="I89" s="9"/>
      <c r="J89" s="3"/>
      <c r="K89" s="3"/>
      <c r="L89" s="3"/>
    </row>
    <row r="90" spans="1:12">
      <c r="A90" s="3"/>
      <c r="B90" s="3"/>
      <c r="C90" s="3"/>
      <c r="D90" s="3"/>
      <c r="E90" s="3"/>
      <c r="F90" s="3"/>
      <c r="G90" s="3"/>
      <c r="H90" s="3"/>
      <c r="I90" s="9"/>
      <c r="J90" s="3"/>
      <c r="K90" s="3"/>
      <c r="L90" s="3"/>
    </row>
    <row r="91" spans="1:12">
      <c r="A91" s="3"/>
      <c r="B91" s="3"/>
      <c r="C91" s="3"/>
      <c r="D91" s="3"/>
      <c r="E91" s="3"/>
      <c r="F91" s="3"/>
      <c r="G91" s="3"/>
      <c r="H91" s="3"/>
      <c r="I91" s="9"/>
      <c r="J91" s="3"/>
      <c r="K91" s="3"/>
      <c r="L91" s="3"/>
    </row>
    <row r="92" spans="1:12">
      <c r="A92" s="3"/>
      <c r="B92" s="3"/>
      <c r="C92" s="3"/>
      <c r="D92" s="3"/>
      <c r="E92" s="3"/>
      <c r="F92" s="3"/>
      <c r="G92" s="3"/>
      <c r="H92" s="3"/>
      <c r="I92" s="9"/>
      <c r="J92" s="3"/>
      <c r="K92" s="3"/>
      <c r="L92" s="3"/>
    </row>
    <row r="93" spans="1:12">
      <c r="A93" s="3"/>
      <c r="B93" s="3"/>
      <c r="C93" s="3"/>
      <c r="D93" s="3"/>
      <c r="E93" s="3"/>
      <c r="F93" s="3"/>
      <c r="G93" s="3"/>
      <c r="H93" s="3"/>
      <c r="I93" s="9"/>
      <c r="J93" s="3"/>
      <c r="K93" s="3"/>
      <c r="L93" s="3"/>
    </row>
    <row r="94" spans="1:12">
      <c r="A94" s="3"/>
      <c r="B94" s="3"/>
      <c r="C94" s="3"/>
      <c r="D94" s="3"/>
      <c r="E94" s="3"/>
      <c r="F94" s="3"/>
      <c r="G94" s="3"/>
      <c r="H94" s="3"/>
      <c r="I94" s="9"/>
      <c r="J94" s="3"/>
      <c r="K94" s="3"/>
      <c r="L94" s="3"/>
    </row>
    <row r="95" spans="1:12">
      <c r="A95" s="3"/>
      <c r="B95" s="3"/>
      <c r="C95" s="3"/>
      <c r="D95" s="3"/>
      <c r="E95" s="3"/>
      <c r="F95" s="3"/>
      <c r="G95" s="3"/>
      <c r="H95" s="3"/>
      <c r="I95" s="9"/>
      <c r="J95" s="3"/>
      <c r="K95" s="3"/>
      <c r="L95" s="3"/>
    </row>
    <row r="96" spans="1:12">
      <c r="A96" s="3"/>
      <c r="B96" s="3"/>
      <c r="C96" s="3"/>
      <c r="D96" s="3"/>
      <c r="E96" s="3"/>
      <c r="F96" s="3"/>
      <c r="G96" s="3"/>
      <c r="H96" s="3"/>
      <c r="I96" s="9"/>
      <c r="J96" s="3"/>
      <c r="K96" s="3"/>
      <c r="L96" s="3"/>
    </row>
    <row r="97" spans="1:12">
      <c r="A97" s="3"/>
      <c r="B97" s="3"/>
      <c r="C97" s="3"/>
      <c r="D97" s="3"/>
      <c r="E97" s="3"/>
      <c r="F97" s="3"/>
      <c r="G97" s="3"/>
      <c r="H97" s="3"/>
      <c r="I97" s="9"/>
      <c r="J97" s="3"/>
      <c r="K97" s="3"/>
      <c r="L97" s="3"/>
    </row>
    <row r="98" spans="1:12">
      <c r="A98" s="3"/>
      <c r="B98" s="3"/>
      <c r="C98" s="3"/>
      <c r="D98" s="3"/>
      <c r="E98" s="3"/>
      <c r="F98" s="3"/>
      <c r="G98" s="3"/>
      <c r="H98" s="3"/>
      <c r="I98" s="9"/>
      <c r="J98" s="3"/>
      <c r="K98" s="3"/>
      <c r="L98" s="3"/>
    </row>
    <row r="99" spans="1:12">
      <c r="A99" s="3"/>
      <c r="B99" s="3"/>
      <c r="C99" s="3"/>
      <c r="D99" s="3"/>
      <c r="E99" s="3"/>
      <c r="F99" s="3"/>
      <c r="G99" s="3"/>
      <c r="H99" s="3"/>
      <c r="I99" s="9"/>
      <c r="J99" s="3"/>
      <c r="K99" s="3"/>
      <c r="L99" s="3"/>
    </row>
    <row r="100" spans="1:12">
      <c r="A100" s="3"/>
      <c r="B100" s="3"/>
      <c r="C100" s="3"/>
      <c r="D100" s="3"/>
      <c r="E100" s="3"/>
      <c r="F100" s="3"/>
      <c r="G100" s="3"/>
      <c r="H100" s="3"/>
      <c r="I100" s="9"/>
      <c r="J100" s="3"/>
      <c r="K100" s="3"/>
      <c r="L100" s="3"/>
    </row>
    <row r="101" spans="1:12">
      <c r="A101" s="3"/>
      <c r="B101" s="3"/>
      <c r="C101" s="3"/>
      <c r="D101" s="3"/>
      <c r="E101" s="3"/>
      <c r="F101" s="3"/>
      <c r="G101" s="3"/>
      <c r="H101" s="3"/>
      <c r="I101" s="9"/>
      <c r="J101" s="3"/>
      <c r="K101" s="3"/>
      <c r="L101" s="3"/>
    </row>
    <row r="102" spans="1:12">
      <c r="A102" s="3"/>
      <c r="B102" s="3"/>
      <c r="C102" s="3"/>
      <c r="D102" s="3"/>
      <c r="E102" s="3"/>
      <c r="F102" s="3"/>
      <c r="G102" s="3"/>
      <c r="H102" s="3"/>
      <c r="I102" s="9"/>
      <c r="J102" s="3"/>
      <c r="K102" s="3"/>
      <c r="L102" s="3"/>
    </row>
    <row r="103" spans="1:12">
      <c r="A103" s="3"/>
      <c r="B103" s="3"/>
      <c r="C103" s="3"/>
      <c r="D103" s="3"/>
      <c r="E103" s="3"/>
      <c r="F103" s="3"/>
      <c r="G103" s="3"/>
      <c r="H103" s="3"/>
      <c r="I103" s="9"/>
      <c r="J103" s="3"/>
      <c r="K103" s="3"/>
      <c r="L103" s="3"/>
    </row>
  </sheetData>
  <mergeCells count="1">
    <mergeCell ref="A1:L1"/>
  </mergeCells>
  <conditionalFormatting sqref="I4:I103">
    <cfRule type="colorScale" priority="1">
      <colorScale>
        <cfvo type="min"/>
        <cfvo type="percentile" val="50"/>
        <cfvo type="max"/>
        <color rgb="FFFDECEC"/>
        <color rgb="FFFFF4B8"/>
        <color rgb="FFE8F5EE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3"/>
  <sheetViews>
    <sheetView tabSelected="1" topLeftCell="K1" workbookViewId="0">
      <pane ySplit="3" topLeftCell="A4" activePane="bottomLeft" state="frozen"/>
      <selection pane="bottomLeft" activeCell="O8" sqref="O8"/>
    </sheetView>
  </sheetViews>
  <sheetFormatPr defaultRowHeight="14"/>
  <cols>
    <col min="1" max="1" width="11" customWidth="1"/>
    <col min="2" max="14" width="43" customWidth="1"/>
    <col min="15" max="18" width="44" customWidth="1"/>
    <col min="19" max="19" width="36" customWidth="1"/>
    <col min="20" max="20" width="44" customWidth="1"/>
    <col min="21" max="21" width="70" customWidth="1"/>
    <col min="22" max="22" width="14" customWidth="1"/>
    <col min="23" max="24" width="62" customWidth="1"/>
  </cols>
  <sheetData>
    <row r="1" spans="1:24" ht="30" customHeight="1">
      <c r="A1" s="31" t="s">
        <v>253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3" spans="1:24" ht="32" customHeight="1">
      <c r="A3" s="1" t="s">
        <v>111</v>
      </c>
      <c r="B3" s="1" t="s">
        <v>254</v>
      </c>
      <c r="C3" s="1" t="s">
        <v>255</v>
      </c>
      <c r="D3" s="1" t="s">
        <v>256</v>
      </c>
      <c r="E3" s="1" t="s">
        <v>257</v>
      </c>
      <c r="F3" s="1" t="s">
        <v>258</v>
      </c>
      <c r="G3" s="1" t="s">
        <v>259</v>
      </c>
      <c r="H3" s="1" t="s">
        <v>260</v>
      </c>
      <c r="I3" s="1" t="s">
        <v>261</v>
      </c>
      <c r="J3" s="1" t="s">
        <v>262</v>
      </c>
      <c r="K3" s="1" t="s">
        <v>263</v>
      </c>
      <c r="L3" s="1" t="s">
        <v>264</v>
      </c>
      <c r="M3" s="1" t="s">
        <v>265</v>
      </c>
      <c r="N3" s="1" t="s">
        <v>266</v>
      </c>
      <c r="O3" s="28" t="s">
        <v>90</v>
      </c>
      <c r="P3" s="28" t="s">
        <v>267</v>
      </c>
      <c r="Q3" s="28" t="s">
        <v>268</v>
      </c>
      <c r="R3" s="28" t="s">
        <v>269</v>
      </c>
      <c r="S3" s="28" t="s">
        <v>167</v>
      </c>
      <c r="T3" s="28" t="s">
        <v>270</v>
      </c>
      <c r="U3" s="28" t="s">
        <v>38</v>
      </c>
      <c r="V3" s="28" t="s">
        <v>271</v>
      </c>
      <c r="W3" s="28" t="s">
        <v>272</v>
      </c>
      <c r="X3" s="28" t="s">
        <v>273</v>
      </c>
    </row>
    <row r="4" spans="1:24" ht="72" customHeight="1">
      <c r="A4" s="4" t="s">
        <v>125</v>
      </c>
      <c r="B4" s="4" t="s">
        <v>274</v>
      </c>
      <c r="C4" s="4" t="s">
        <v>275</v>
      </c>
      <c r="D4" s="4" t="s">
        <v>276</v>
      </c>
      <c r="E4" s="4" t="s">
        <v>277</v>
      </c>
      <c r="F4" s="4" t="s">
        <v>278</v>
      </c>
      <c r="G4" s="4" t="s">
        <v>279</v>
      </c>
      <c r="H4" s="4" t="s">
        <v>280</v>
      </c>
      <c r="I4" s="4" t="s">
        <v>281</v>
      </c>
      <c r="J4" s="4" t="s">
        <v>219</v>
      </c>
      <c r="K4" s="4" t="s">
        <v>282</v>
      </c>
      <c r="L4" s="4" t="s">
        <v>283</v>
      </c>
      <c r="M4" s="4" t="s">
        <v>284</v>
      </c>
      <c r="N4" s="4" t="s">
        <v>285</v>
      </c>
      <c r="O4" s="30" t="s">
        <v>490</v>
      </c>
      <c r="P4" s="4" t="s">
        <v>286</v>
      </c>
      <c r="Q4" s="4" t="s">
        <v>287</v>
      </c>
      <c r="R4" s="4" t="s">
        <v>239</v>
      </c>
      <c r="S4" s="4" t="s">
        <v>170</v>
      </c>
      <c r="T4" s="4" t="s">
        <v>288</v>
      </c>
      <c r="U4" s="4" t="s">
        <v>289</v>
      </c>
      <c r="V4" s="4" t="s">
        <v>290</v>
      </c>
      <c r="W4" s="4" t="s">
        <v>291</v>
      </c>
      <c r="X4" s="3" t="s">
        <v>292</v>
      </c>
    </row>
    <row r="5" spans="1:24" ht="72" customHeight="1">
      <c r="A5" s="4" t="s">
        <v>133</v>
      </c>
      <c r="B5" s="4" t="s">
        <v>293</v>
      </c>
      <c r="C5" s="4" t="s">
        <v>294</v>
      </c>
      <c r="D5" s="4" t="s">
        <v>295</v>
      </c>
      <c r="E5" s="4" t="s">
        <v>296</v>
      </c>
      <c r="F5" s="4" t="s">
        <v>297</v>
      </c>
      <c r="G5" s="4" t="s">
        <v>298</v>
      </c>
      <c r="H5" s="4" t="s">
        <v>299</v>
      </c>
      <c r="I5" s="4" t="s">
        <v>300</v>
      </c>
      <c r="J5" s="4" t="s">
        <v>220</v>
      </c>
      <c r="K5" s="4" t="s">
        <v>301</v>
      </c>
      <c r="L5" s="4" t="s">
        <v>302</v>
      </c>
      <c r="M5" s="4" t="s">
        <v>303</v>
      </c>
      <c r="N5" s="4" t="s">
        <v>304</v>
      </c>
      <c r="O5" s="30" t="s">
        <v>491</v>
      </c>
      <c r="P5" s="4" t="s">
        <v>305</v>
      </c>
      <c r="Q5" s="4" t="s">
        <v>306</v>
      </c>
      <c r="R5" s="4" t="s">
        <v>243</v>
      </c>
      <c r="S5" s="4" t="s">
        <v>173</v>
      </c>
      <c r="T5" s="4" t="s">
        <v>307</v>
      </c>
      <c r="U5" s="4" t="s">
        <v>308</v>
      </c>
      <c r="V5" s="4" t="s">
        <v>290</v>
      </c>
      <c r="W5" s="4" t="s">
        <v>309</v>
      </c>
      <c r="X5" s="3" t="s">
        <v>310</v>
      </c>
    </row>
    <row r="6" spans="1:24" ht="72" customHeight="1">
      <c r="A6" s="4" t="s">
        <v>138</v>
      </c>
      <c r="B6" s="4" t="s">
        <v>311</v>
      </c>
      <c r="C6" s="4" t="s">
        <v>312</v>
      </c>
      <c r="D6" s="4" t="s">
        <v>313</v>
      </c>
      <c r="E6" s="4" t="s">
        <v>314</v>
      </c>
      <c r="F6" s="4" t="s">
        <v>315</v>
      </c>
      <c r="G6" s="4" t="s">
        <v>316</v>
      </c>
      <c r="H6" s="4" t="s">
        <v>317</v>
      </c>
      <c r="I6" s="4" t="s">
        <v>318</v>
      </c>
      <c r="J6" s="4" t="s">
        <v>221</v>
      </c>
      <c r="K6" s="4" t="s">
        <v>319</v>
      </c>
      <c r="L6" s="4" t="s">
        <v>320</v>
      </c>
      <c r="M6" s="4" t="s">
        <v>321</v>
      </c>
      <c r="N6" s="4" t="s">
        <v>322</v>
      </c>
      <c r="O6" s="30" t="s">
        <v>492</v>
      </c>
      <c r="P6" s="4" t="s">
        <v>323</v>
      </c>
      <c r="Q6" s="4" t="s">
        <v>324</v>
      </c>
      <c r="R6" s="4" t="s">
        <v>245</v>
      </c>
      <c r="S6" s="4" t="s">
        <v>176</v>
      </c>
      <c r="T6" s="4" t="s">
        <v>325</v>
      </c>
      <c r="U6" s="4" t="s">
        <v>326</v>
      </c>
      <c r="V6" s="4" t="s">
        <v>290</v>
      </c>
      <c r="W6" s="4" t="s">
        <v>327</v>
      </c>
      <c r="X6" s="3" t="s">
        <v>328</v>
      </c>
    </row>
    <row r="7" spans="1:24" ht="72" customHeight="1">
      <c r="A7" s="4" t="s">
        <v>143</v>
      </c>
      <c r="B7" s="4" t="s">
        <v>329</v>
      </c>
      <c r="C7" s="4" t="s">
        <v>330</v>
      </c>
      <c r="D7" s="4" t="s">
        <v>331</v>
      </c>
      <c r="E7" s="4" t="s">
        <v>332</v>
      </c>
      <c r="F7" s="4" t="s">
        <v>333</v>
      </c>
      <c r="G7" s="4" t="s">
        <v>334</v>
      </c>
      <c r="H7" s="4" t="s">
        <v>335</v>
      </c>
      <c r="I7" s="4" t="s">
        <v>336</v>
      </c>
      <c r="J7" s="4" t="s">
        <v>223</v>
      </c>
      <c r="K7" s="4" t="s">
        <v>337</v>
      </c>
      <c r="L7" s="4" t="s">
        <v>338</v>
      </c>
      <c r="M7" s="4" t="s">
        <v>339</v>
      </c>
      <c r="N7" s="4" t="s">
        <v>340</v>
      </c>
      <c r="O7" s="30">
        <v>123456859</v>
      </c>
      <c r="P7" s="4" t="s">
        <v>341</v>
      </c>
      <c r="Q7" s="4" t="s">
        <v>342</v>
      </c>
      <c r="R7" s="4" t="s">
        <v>250</v>
      </c>
      <c r="S7" s="4" t="s">
        <v>178</v>
      </c>
      <c r="T7" s="4" t="s">
        <v>343</v>
      </c>
      <c r="U7" s="4" t="s">
        <v>344</v>
      </c>
      <c r="V7" s="4" t="s">
        <v>290</v>
      </c>
      <c r="W7" s="4" t="s">
        <v>345</v>
      </c>
      <c r="X7" s="3" t="s">
        <v>346</v>
      </c>
    </row>
    <row r="8" spans="1:24" ht="72" customHeight="1">
      <c r="A8" s="4" t="s">
        <v>147</v>
      </c>
      <c r="B8" s="4" t="s">
        <v>347</v>
      </c>
      <c r="C8" s="4" t="s">
        <v>348</v>
      </c>
      <c r="D8" s="4" t="s">
        <v>349</v>
      </c>
      <c r="E8" s="4" t="s">
        <v>350</v>
      </c>
      <c r="F8" s="4" t="s">
        <v>351</v>
      </c>
      <c r="G8" s="4" t="s">
        <v>352</v>
      </c>
      <c r="H8" s="4" t="s">
        <v>353</v>
      </c>
      <c r="I8" s="4" t="s">
        <v>354</v>
      </c>
      <c r="J8" s="4" t="s">
        <v>224</v>
      </c>
      <c r="K8" s="4" t="s">
        <v>355</v>
      </c>
      <c r="L8" s="4" t="s">
        <v>356</v>
      </c>
      <c r="M8" s="4" t="s">
        <v>357</v>
      </c>
      <c r="N8" s="4" t="s">
        <v>358</v>
      </c>
      <c r="O8" s="30"/>
      <c r="P8" s="4" t="s">
        <v>359</v>
      </c>
      <c r="Q8" s="4" t="s">
        <v>360</v>
      </c>
      <c r="R8" s="4" t="s">
        <v>252</v>
      </c>
      <c r="S8" s="4" t="s">
        <v>181</v>
      </c>
      <c r="T8" s="4" t="s">
        <v>361</v>
      </c>
      <c r="U8" s="4" t="s">
        <v>362</v>
      </c>
      <c r="V8" s="4" t="s">
        <v>290</v>
      </c>
      <c r="W8" s="4" t="s">
        <v>363</v>
      </c>
      <c r="X8" s="3" t="s">
        <v>364</v>
      </c>
    </row>
    <row r="9" spans="1:24" ht="72" customHeight="1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0"/>
      <c r="P9" s="3"/>
      <c r="Q9" s="3"/>
      <c r="R9" s="3"/>
      <c r="S9" s="3"/>
      <c r="T9" s="3"/>
      <c r="U9" s="3"/>
      <c r="V9" s="3"/>
      <c r="W9" s="3"/>
      <c r="X9" s="3"/>
    </row>
    <row r="10" spans="1:24" ht="72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0"/>
      <c r="P10" s="3"/>
      <c r="Q10" s="3"/>
      <c r="R10" s="3"/>
      <c r="S10" s="3"/>
      <c r="T10" s="3"/>
      <c r="U10" s="3"/>
      <c r="V10" s="3"/>
      <c r="W10" s="3"/>
      <c r="X10" s="3"/>
    </row>
    <row r="11" spans="1:24" ht="72" customHeight="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0"/>
      <c r="P11" s="3"/>
      <c r="Q11" s="3"/>
      <c r="R11" s="3"/>
      <c r="S11" s="3"/>
      <c r="T11" s="3"/>
      <c r="U11" s="3"/>
      <c r="V11" s="3"/>
      <c r="W11" s="3"/>
      <c r="X11" s="3"/>
    </row>
    <row r="12" spans="1:24" ht="72" customHeight="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0"/>
      <c r="P12" s="3"/>
      <c r="Q12" s="3"/>
      <c r="R12" s="3"/>
      <c r="S12" s="3"/>
      <c r="T12" s="3"/>
      <c r="U12" s="3"/>
      <c r="V12" s="3"/>
      <c r="W12" s="3"/>
      <c r="X12" s="3"/>
    </row>
    <row r="13" spans="1:24" ht="72" customHeight="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0"/>
      <c r="P13" s="3"/>
      <c r="Q13" s="3"/>
      <c r="R13" s="3"/>
      <c r="S13" s="3"/>
      <c r="T13" s="3"/>
      <c r="U13" s="3"/>
      <c r="V13" s="3"/>
      <c r="W13" s="3"/>
      <c r="X13" s="3"/>
    </row>
    <row r="14" spans="1:24" ht="72" customHeight="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0"/>
      <c r="P14" s="3"/>
      <c r="Q14" s="3"/>
      <c r="R14" s="3"/>
      <c r="S14" s="3"/>
      <c r="T14" s="3"/>
      <c r="U14" s="3"/>
      <c r="V14" s="3"/>
      <c r="W14" s="3"/>
      <c r="X14" s="3"/>
    </row>
    <row r="15" spans="1:24" ht="72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0"/>
      <c r="P15" s="3"/>
      <c r="Q15" s="3"/>
      <c r="R15" s="3"/>
      <c r="S15" s="3"/>
      <c r="T15" s="3"/>
      <c r="U15" s="3"/>
      <c r="V15" s="3"/>
      <c r="W15" s="3"/>
      <c r="X15" s="3"/>
    </row>
    <row r="16" spans="1:24" ht="72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0"/>
      <c r="P16" s="3"/>
      <c r="Q16" s="3"/>
      <c r="R16" s="3"/>
      <c r="S16" s="3"/>
      <c r="T16" s="3"/>
      <c r="U16" s="3"/>
      <c r="V16" s="3"/>
      <c r="W16" s="3"/>
      <c r="X16" s="3"/>
    </row>
    <row r="17" spans="1:24" ht="72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0"/>
      <c r="P17" s="3"/>
      <c r="Q17" s="3"/>
      <c r="R17" s="3"/>
      <c r="S17" s="3"/>
      <c r="T17" s="3"/>
      <c r="U17" s="3"/>
      <c r="V17" s="3"/>
      <c r="W17" s="3"/>
      <c r="X17" s="3"/>
    </row>
    <row r="18" spans="1:24" ht="72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0"/>
      <c r="P18" s="3"/>
      <c r="Q18" s="3"/>
      <c r="R18" s="3"/>
      <c r="S18" s="3"/>
      <c r="T18" s="3"/>
      <c r="U18" s="3"/>
      <c r="V18" s="3"/>
      <c r="W18" s="3"/>
      <c r="X18" s="3"/>
    </row>
    <row r="19" spans="1:24" ht="72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0"/>
      <c r="P19" s="3"/>
      <c r="Q19" s="3"/>
      <c r="R19" s="3"/>
      <c r="S19" s="3"/>
      <c r="T19" s="3"/>
      <c r="U19" s="3"/>
      <c r="V19" s="3"/>
      <c r="W19" s="3"/>
      <c r="X19" s="3"/>
    </row>
    <row r="20" spans="1:24" ht="72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0"/>
      <c r="P20" s="3"/>
      <c r="Q20" s="3"/>
      <c r="R20" s="3"/>
      <c r="S20" s="3"/>
      <c r="T20" s="3"/>
      <c r="U20" s="3"/>
      <c r="V20" s="3"/>
      <c r="W20" s="3"/>
      <c r="X20" s="3"/>
    </row>
    <row r="21" spans="1:24" ht="72" customHeight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0"/>
      <c r="P21" s="3"/>
      <c r="Q21" s="3"/>
      <c r="R21" s="3"/>
      <c r="S21" s="3"/>
      <c r="T21" s="3"/>
      <c r="U21" s="3"/>
      <c r="V21" s="3"/>
      <c r="W21" s="3"/>
      <c r="X21" s="3"/>
    </row>
    <row r="22" spans="1:24" ht="72" customHeigh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0"/>
      <c r="P22" s="3"/>
      <c r="Q22" s="3"/>
      <c r="R22" s="3"/>
      <c r="S22" s="3"/>
      <c r="T22" s="3"/>
      <c r="U22" s="3"/>
      <c r="V22" s="3"/>
      <c r="W22" s="3"/>
      <c r="X22" s="3"/>
    </row>
    <row r="23" spans="1:24" ht="72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0"/>
      <c r="P23" s="3"/>
      <c r="Q23" s="3"/>
      <c r="R23" s="3"/>
      <c r="S23" s="3"/>
      <c r="T23" s="3"/>
      <c r="U23" s="3"/>
      <c r="V23" s="3"/>
      <c r="W23" s="3"/>
      <c r="X23" s="3"/>
    </row>
    <row r="24" spans="1:24" ht="72" customHeigh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0"/>
      <c r="P24" s="3"/>
      <c r="Q24" s="3"/>
      <c r="R24" s="3"/>
      <c r="S24" s="3"/>
      <c r="T24" s="3"/>
      <c r="U24" s="3"/>
      <c r="V24" s="3"/>
      <c r="W24" s="3"/>
      <c r="X24" s="3"/>
    </row>
    <row r="25" spans="1:24" ht="72" customHeigh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0"/>
      <c r="P25" s="3"/>
      <c r="Q25" s="3"/>
      <c r="R25" s="3"/>
      <c r="S25" s="3"/>
      <c r="T25" s="3"/>
      <c r="U25" s="3"/>
      <c r="V25" s="3"/>
      <c r="W25" s="3"/>
      <c r="X25" s="3"/>
    </row>
    <row r="26" spans="1:24" ht="72" customHeigh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0"/>
      <c r="P26" s="3"/>
      <c r="Q26" s="3"/>
      <c r="R26" s="3"/>
      <c r="S26" s="3"/>
      <c r="T26" s="3"/>
      <c r="U26" s="3"/>
      <c r="V26" s="3"/>
      <c r="W26" s="3"/>
      <c r="X26" s="3"/>
    </row>
    <row r="27" spans="1:24" ht="72" customHeigh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0"/>
      <c r="P27" s="3"/>
      <c r="Q27" s="3"/>
      <c r="R27" s="3"/>
      <c r="S27" s="3"/>
      <c r="T27" s="3"/>
      <c r="U27" s="3"/>
      <c r="V27" s="3"/>
      <c r="W27" s="3"/>
      <c r="X27" s="3"/>
    </row>
    <row r="28" spans="1:24" ht="72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0"/>
      <c r="P28" s="3"/>
      <c r="Q28" s="3"/>
      <c r="R28" s="3"/>
      <c r="S28" s="3"/>
      <c r="T28" s="3"/>
      <c r="U28" s="3"/>
      <c r="V28" s="3"/>
      <c r="W28" s="3"/>
      <c r="X28" s="3"/>
    </row>
    <row r="29" spans="1:24" ht="72" customHeigh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0"/>
      <c r="P29" s="3"/>
      <c r="Q29" s="3"/>
      <c r="R29" s="3"/>
      <c r="S29" s="3"/>
      <c r="T29" s="3"/>
      <c r="U29" s="3"/>
      <c r="V29" s="3"/>
      <c r="W29" s="3"/>
      <c r="X29" s="3"/>
    </row>
    <row r="30" spans="1:24" ht="72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0"/>
      <c r="P30" s="3"/>
      <c r="Q30" s="3"/>
      <c r="R30" s="3"/>
      <c r="S30" s="3"/>
      <c r="T30" s="3"/>
      <c r="U30" s="3"/>
      <c r="V30" s="3"/>
      <c r="W30" s="3"/>
      <c r="X30" s="3"/>
    </row>
    <row r="31" spans="1:24" ht="72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0"/>
      <c r="P31" s="3"/>
      <c r="Q31" s="3"/>
      <c r="R31" s="3"/>
      <c r="S31" s="3"/>
      <c r="T31" s="3"/>
      <c r="U31" s="3"/>
      <c r="V31" s="3"/>
      <c r="W31" s="3"/>
      <c r="X31" s="3"/>
    </row>
    <row r="32" spans="1:24" ht="72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0"/>
      <c r="P32" s="3"/>
      <c r="Q32" s="3"/>
      <c r="R32" s="3"/>
      <c r="S32" s="3"/>
      <c r="T32" s="3"/>
      <c r="U32" s="3"/>
      <c r="V32" s="3"/>
      <c r="W32" s="3"/>
      <c r="X32" s="3"/>
    </row>
    <row r="33" spans="1:24" ht="72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0"/>
      <c r="P33" s="3"/>
      <c r="Q33" s="3"/>
      <c r="R33" s="3"/>
      <c r="S33" s="3"/>
      <c r="T33" s="3"/>
      <c r="U33" s="3"/>
      <c r="V33" s="3"/>
      <c r="W33" s="3"/>
      <c r="X33" s="3"/>
    </row>
    <row r="34" spans="1:24" ht="72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0"/>
      <c r="P34" s="3"/>
      <c r="Q34" s="3"/>
      <c r="R34" s="3"/>
      <c r="S34" s="3"/>
      <c r="T34" s="3"/>
      <c r="U34" s="3"/>
      <c r="V34" s="3"/>
      <c r="W34" s="3"/>
      <c r="X34" s="3"/>
    </row>
    <row r="35" spans="1:24" ht="72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0"/>
      <c r="P35" s="3"/>
      <c r="Q35" s="3"/>
      <c r="R35" s="3"/>
      <c r="S35" s="3"/>
      <c r="T35" s="3"/>
      <c r="U35" s="3"/>
      <c r="V35" s="3"/>
      <c r="W35" s="3"/>
      <c r="X35" s="3"/>
    </row>
    <row r="36" spans="1:24" ht="72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0"/>
      <c r="P36" s="3"/>
      <c r="Q36" s="3"/>
      <c r="R36" s="3"/>
      <c r="S36" s="3"/>
      <c r="T36" s="3"/>
      <c r="U36" s="3"/>
      <c r="V36" s="3"/>
      <c r="W36" s="3"/>
      <c r="X36" s="3"/>
    </row>
    <row r="37" spans="1:24" ht="72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0"/>
      <c r="P37" s="3"/>
      <c r="Q37" s="3"/>
      <c r="R37" s="3"/>
      <c r="S37" s="3"/>
      <c r="T37" s="3"/>
      <c r="U37" s="3"/>
      <c r="V37" s="3"/>
      <c r="W37" s="3"/>
      <c r="X37" s="3"/>
    </row>
    <row r="38" spans="1:24" ht="72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0"/>
      <c r="P38" s="3"/>
      <c r="Q38" s="3"/>
      <c r="R38" s="3"/>
      <c r="S38" s="3"/>
      <c r="T38" s="3"/>
      <c r="U38" s="3"/>
      <c r="V38" s="3"/>
      <c r="W38" s="3"/>
      <c r="X38" s="3"/>
    </row>
    <row r="39" spans="1:24" ht="72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0"/>
      <c r="P39" s="3"/>
      <c r="Q39" s="3"/>
      <c r="R39" s="3"/>
      <c r="S39" s="3"/>
      <c r="T39" s="3"/>
      <c r="U39" s="3"/>
      <c r="V39" s="3"/>
      <c r="W39" s="3"/>
      <c r="X39" s="3"/>
    </row>
    <row r="40" spans="1:24" ht="72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0"/>
      <c r="P40" s="3"/>
      <c r="Q40" s="3"/>
      <c r="R40" s="3"/>
      <c r="S40" s="3"/>
      <c r="T40" s="3"/>
      <c r="U40" s="3"/>
      <c r="V40" s="3"/>
      <c r="W40" s="3"/>
      <c r="X40" s="3"/>
    </row>
    <row r="41" spans="1:24" ht="72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0"/>
      <c r="P41" s="3"/>
      <c r="Q41" s="3"/>
      <c r="R41" s="3"/>
      <c r="S41" s="3"/>
      <c r="T41" s="3"/>
      <c r="U41" s="3"/>
      <c r="V41" s="3"/>
      <c r="W41" s="3"/>
      <c r="X41" s="3"/>
    </row>
    <row r="42" spans="1:24" ht="72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0"/>
      <c r="P42" s="3"/>
      <c r="Q42" s="3"/>
      <c r="R42" s="3"/>
      <c r="S42" s="3"/>
      <c r="T42" s="3"/>
      <c r="U42" s="3"/>
      <c r="V42" s="3"/>
      <c r="W42" s="3"/>
      <c r="X42" s="3"/>
    </row>
    <row r="43" spans="1:24" ht="72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0"/>
      <c r="P43" s="3"/>
      <c r="Q43" s="3"/>
      <c r="R43" s="3"/>
      <c r="S43" s="3"/>
      <c r="T43" s="3"/>
      <c r="U43" s="3"/>
      <c r="V43" s="3"/>
      <c r="W43" s="3"/>
      <c r="X43" s="3"/>
    </row>
    <row r="44" spans="1:24" ht="72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0"/>
      <c r="P44" s="3"/>
      <c r="Q44" s="3"/>
      <c r="R44" s="3"/>
      <c r="S44" s="3"/>
      <c r="T44" s="3"/>
      <c r="U44" s="3"/>
      <c r="V44" s="3"/>
      <c r="W44" s="3"/>
      <c r="X44" s="3"/>
    </row>
    <row r="45" spans="1:24" ht="72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0"/>
      <c r="P45" s="3"/>
      <c r="Q45" s="3"/>
      <c r="R45" s="3"/>
      <c r="S45" s="3"/>
      <c r="T45" s="3"/>
      <c r="U45" s="3"/>
      <c r="V45" s="3"/>
      <c r="W45" s="3"/>
      <c r="X45" s="3"/>
    </row>
    <row r="46" spans="1:24" ht="72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0"/>
      <c r="P46" s="3"/>
      <c r="Q46" s="3"/>
      <c r="R46" s="3"/>
      <c r="S46" s="3"/>
      <c r="T46" s="3"/>
      <c r="U46" s="3"/>
      <c r="V46" s="3"/>
      <c r="W46" s="3"/>
      <c r="X46" s="3"/>
    </row>
    <row r="47" spans="1:24" ht="72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0"/>
      <c r="P47" s="3"/>
      <c r="Q47" s="3"/>
      <c r="R47" s="3"/>
      <c r="S47" s="3"/>
      <c r="T47" s="3"/>
      <c r="U47" s="3"/>
      <c r="V47" s="3"/>
      <c r="W47" s="3"/>
      <c r="X47" s="3"/>
    </row>
    <row r="48" spans="1:24" ht="72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0"/>
      <c r="P48" s="3"/>
      <c r="Q48" s="3"/>
      <c r="R48" s="3"/>
      <c r="S48" s="3"/>
      <c r="T48" s="3"/>
      <c r="U48" s="3"/>
      <c r="V48" s="3"/>
      <c r="W48" s="3"/>
      <c r="X48" s="3"/>
    </row>
    <row r="49" spans="1:24" ht="72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0"/>
      <c r="P49" s="3"/>
      <c r="Q49" s="3"/>
      <c r="R49" s="3"/>
      <c r="S49" s="3"/>
      <c r="T49" s="3"/>
      <c r="U49" s="3"/>
      <c r="V49" s="3"/>
      <c r="W49" s="3"/>
      <c r="X49" s="3"/>
    </row>
    <row r="50" spans="1:24" ht="72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0"/>
      <c r="P50" s="3"/>
      <c r="Q50" s="3"/>
      <c r="R50" s="3"/>
      <c r="S50" s="3"/>
      <c r="T50" s="3"/>
      <c r="U50" s="3"/>
      <c r="V50" s="3"/>
      <c r="W50" s="3"/>
      <c r="X50" s="3"/>
    </row>
    <row r="51" spans="1:24" ht="72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0"/>
      <c r="P51" s="3"/>
      <c r="Q51" s="3"/>
      <c r="R51" s="3"/>
      <c r="S51" s="3"/>
      <c r="T51" s="3"/>
      <c r="U51" s="3"/>
      <c r="V51" s="3"/>
      <c r="W51" s="3"/>
      <c r="X51" s="3"/>
    </row>
    <row r="52" spans="1:24" ht="72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0"/>
      <c r="P52" s="3"/>
      <c r="Q52" s="3"/>
      <c r="R52" s="3"/>
      <c r="S52" s="3"/>
      <c r="T52" s="3"/>
      <c r="U52" s="3"/>
      <c r="V52" s="3"/>
      <c r="W52" s="3"/>
      <c r="X52" s="3"/>
    </row>
    <row r="53" spans="1:24" ht="72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0"/>
      <c r="P53" s="3"/>
      <c r="Q53" s="3"/>
      <c r="R53" s="3"/>
      <c r="S53" s="3"/>
      <c r="T53" s="3"/>
      <c r="U53" s="3"/>
      <c r="V53" s="3"/>
      <c r="W53" s="3"/>
      <c r="X53" s="3"/>
    </row>
    <row r="54" spans="1:24" ht="72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0"/>
      <c r="P54" s="3"/>
      <c r="Q54" s="3"/>
      <c r="R54" s="3"/>
      <c r="S54" s="3"/>
      <c r="T54" s="3"/>
      <c r="U54" s="3"/>
      <c r="V54" s="3"/>
      <c r="W54" s="3"/>
      <c r="X54" s="3"/>
    </row>
    <row r="55" spans="1:24" ht="72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0"/>
      <c r="P55" s="3"/>
      <c r="Q55" s="3"/>
      <c r="R55" s="3"/>
      <c r="S55" s="3"/>
      <c r="T55" s="3"/>
      <c r="U55" s="3"/>
      <c r="V55" s="3"/>
      <c r="W55" s="3"/>
      <c r="X55" s="3"/>
    </row>
    <row r="56" spans="1:24" ht="72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0"/>
      <c r="P56" s="3"/>
      <c r="Q56" s="3"/>
      <c r="R56" s="3"/>
      <c r="S56" s="3"/>
      <c r="T56" s="3"/>
      <c r="U56" s="3"/>
      <c r="V56" s="3"/>
      <c r="W56" s="3"/>
      <c r="X56" s="3"/>
    </row>
    <row r="57" spans="1:24" ht="72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0"/>
      <c r="P57" s="3"/>
      <c r="Q57" s="3"/>
      <c r="R57" s="3"/>
      <c r="S57" s="3"/>
      <c r="T57" s="3"/>
      <c r="U57" s="3"/>
      <c r="V57" s="3"/>
      <c r="W57" s="3"/>
      <c r="X57" s="3"/>
    </row>
    <row r="58" spans="1:24" ht="72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0"/>
      <c r="P58" s="3"/>
      <c r="Q58" s="3"/>
      <c r="R58" s="3"/>
      <c r="S58" s="3"/>
      <c r="T58" s="3"/>
      <c r="U58" s="3"/>
      <c r="V58" s="3"/>
      <c r="W58" s="3"/>
      <c r="X58" s="3"/>
    </row>
    <row r="59" spans="1:24" ht="72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0"/>
      <c r="P59" s="3"/>
      <c r="Q59" s="3"/>
      <c r="R59" s="3"/>
      <c r="S59" s="3"/>
      <c r="T59" s="3"/>
      <c r="U59" s="3"/>
      <c r="V59" s="3"/>
      <c r="W59" s="3"/>
      <c r="X59" s="3"/>
    </row>
    <row r="60" spans="1:24" ht="72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0"/>
      <c r="P60" s="3"/>
      <c r="Q60" s="3"/>
      <c r="R60" s="3"/>
      <c r="S60" s="3"/>
      <c r="T60" s="3"/>
      <c r="U60" s="3"/>
      <c r="V60" s="3"/>
      <c r="W60" s="3"/>
      <c r="X60" s="3"/>
    </row>
    <row r="61" spans="1:24" ht="72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0"/>
      <c r="P61" s="3"/>
      <c r="Q61" s="3"/>
      <c r="R61" s="3"/>
      <c r="S61" s="3"/>
      <c r="T61" s="3"/>
      <c r="U61" s="3"/>
      <c r="V61" s="3"/>
      <c r="W61" s="3"/>
      <c r="X61" s="3"/>
    </row>
    <row r="62" spans="1:24" ht="72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0"/>
      <c r="P62" s="3"/>
      <c r="Q62" s="3"/>
      <c r="R62" s="3"/>
      <c r="S62" s="3"/>
      <c r="T62" s="3"/>
      <c r="U62" s="3"/>
      <c r="V62" s="3"/>
      <c r="W62" s="3"/>
      <c r="X62" s="3"/>
    </row>
    <row r="63" spans="1:24" ht="72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0"/>
      <c r="P63" s="3"/>
      <c r="Q63" s="3"/>
      <c r="R63" s="3"/>
      <c r="S63" s="3"/>
      <c r="T63" s="3"/>
      <c r="U63" s="3"/>
      <c r="V63" s="3"/>
      <c r="W63" s="3"/>
      <c r="X63" s="3"/>
    </row>
    <row r="64" spans="1:24" ht="72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0"/>
      <c r="P64" s="3"/>
      <c r="Q64" s="3"/>
      <c r="R64" s="3"/>
      <c r="S64" s="3"/>
      <c r="T64" s="3"/>
      <c r="U64" s="3"/>
      <c r="V64" s="3"/>
      <c r="W64" s="3"/>
      <c r="X64" s="3"/>
    </row>
    <row r="65" spans="1:24" ht="72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0"/>
      <c r="P65" s="3"/>
      <c r="Q65" s="3"/>
      <c r="R65" s="3"/>
      <c r="S65" s="3"/>
      <c r="T65" s="3"/>
      <c r="U65" s="3"/>
      <c r="V65" s="3"/>
      <c r="W65" s="3"/>
      <c r="X65" s="3"/>
    </row>
    <row r="66" spans="1:24" ht="72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0"/>
      <c r="P66" s="3"/>
      <c r="Q66" s="3"/>
      <c r="R66" s="3"/>
      <c r="S66" s="3"/>
      <c r="T66" s="3"/>
      <c r="U66" s="3"/>
      <c r="V66" s="3"/>
      <c r="W66" s="3"/>
      <c r="X66" s="3"/>
    </row>
    <row r="67" spans="1:24" ht="72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0"/>
      <c r="P67" s="3"/>
      <c r="Q67" s="3"/>
      <c r="R67" s="3"/>
      <c r="S67" s="3"/>
      <c r="T67" s="3"/>
      <c r="U67" s="3"/>
      <c r="V67" s="3"/>
      <c r="W67" s="3"/>
      <c r="X67" s="3"/>
    </row>
    <row r="68" spans="1:24" ht="72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0"/>
      <c r="P68" s="3"/>
      <c r="Q68" s="3"/>
      <c r="R68" s="3"/>
      <c r="S68" s="3"/>
      <c r="T68" s="3"/>
      <c r="U68" s="3"/>
      <c r="V68" s="3"/>
      <c r="W68" s="3"/>
      <c r="X68" s="3"/>
    </row>
    <row r="69" spans="1:24" ht="72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0"/>
      <c r="P69" s="3"/>
      <c r="Q69" s="3"/>
      <c r="R69" s="3"/>
      <c r="S69" s="3"/>
      <c r="T69" s="3"/>
      <c r="U69" s="3"/>
      <c r="V69" s="3"/>
      <c r="W69" s="3"/>
      <c r="X69" s="3"/>
    </row>
    <row r="70" spans="1:24" ht="72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0"/>
      <c r="P70" s="3"/>
      <c r="Q70" s="3"/>
      <c r="R70" s="3"/>
      <c r="S70" s="3"/>
      <c r="T70" s="3"/>
      <c r="U70" s="3"/>
      <c r="V70" s="3"/>
      <c r="W70" s="3"/>
      <c r="X70" s="3"/>
    </row>
    <row r="71" spans="1:24" ht="72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0"/>
      <c r="P71" s="3"/>
      <c r="Q71" s="3"/>
      <c r="R71" s="3"/>
      <c r="S71" s="3"/>
      <c r="T71" s="3"/>
      <c r="U71" s="3"/>
      <c r="V71" s="3"/>
      <c r="W71" s="3"/>
      <c r="X71" s="3"/>
    </row>
    <row r="72" spans="1:24" ht="72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0"/>
      <c r="P72" s="3"/>
      <c r="Q72" s="3"/>
      <c r="R72" s="3"/>
      <c r="S72" s="3"/>
      <c r="T72" s="3"/>
      <c r="U72" s="3"/>
      <c r="V72" s="3"/>
      <c r="W72" s="3"/>
      <c r="X72" s="3"/>
    </row>
    <row r="73" spans="1:24" ht="72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0"/>
      <c r="P73" s="3"/>
      <c r="Q73" s="3"/>
      <c r="R73" s="3"/>
      <c r="S73" s="3"/>
      <c r="T73" s="3"/>
      <c r="U73" s="3"/>
      <c r="V73" s="3"/>
      <c r="W73" s="3"/>
      <c r="X73" s="3"/>
    </row>
    <row r="74" spans="1:24" ht="72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0"/>
      <c r="P74" s="3"/>
      <c r="Q74" s="3"/>
      <c r="R74" s="3"/>
      <c r="S74" s="3"/>
      <c r="T74" s="3"/>
      <c r="U74" s="3"/>
      <c r="V74" s="3"/>
      <c r="W74" s="3"/>
      <c r="X74" s="3"/>
    </row>
    <row r="75" spans="1:24" ht="72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0"/>
      <c r="P75" s="3"/>
      <c r="Q75" s="3"/>
      <c r="R75" s="3"/>
      <c r="S75" s="3"/>
      <c r="T75" s="3"/>
      <c r="U75" s="3"/>
      <c r="V75" s="3"/>
      <c r="W75" s="3"/>
      <c r="X75" s="3"/>
    </row>
    <row r="76" spans="1:24" ht="72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0"/>
      <c r="P76" s="3"/>
      <c r="Q76" s="3"/>
      <c r="R76" s="3"/>
      <c r="S76" s="3"/>
      <c r="T76" s="3"/>
      <c r="U76" s="3"/>
      <c r="V76" s="3"/>
      <c r="W76" s="3"/>
      <c r="X76" s="3"/>
    </row>
    <row r="77" spans="1:24" ht="72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0"/>
      <c r="P77" s="3"/>
      <c r="Q77" s="3"/>
      <c r="R77" s="3"/>
      <c r="S77" s="3"/>
      <c r="T77" s="3"/>
      <c r="U77" s="3"/>
      <c r="V77" s="3"/>
      <c r="W77" s="3"/>
      <c r="X77" s="3"/>
    </row>
    <row r="78" spans="1:24" ht="72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0"/>
      <c r="P78" s="3"/>
      <c r="Q78" s="3"/>
      <c r="R78" s="3"/>
      <c r="S78" s="3"/>
      <c r="T78" s="3"/>
      <c r="U78" s="3"/>
      <c r="V78" s="3"/>
      <c r="W78" s="3"/>
      <c r="X78" s="3"/>
    </row>
    <row r="79" spans="1:24" ht="72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0"/>
      <c r="P79" s="3"/>
      <c r="Q79" s="3"/>
      <c r="R79" s="3"/>
      <c r="S79" s="3"/>
      <c r="T79" s="3"/>
      <c r="U79" s="3"/>
      <c r="V79" s="3"/>
      <c r="W79" s="3"/>
      <c r="X79" s="3"/>
    </row>
    <row r="80" spans="1:24" ht="72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0"/>
      <c r="P80" s="3"/>
      <c r="Q80" s="3"/>
      <c r="R80" s="3"/>
      <c r="S80" s="3"/>
      <c r="T80" s="3"/>
      <c r="U80" s="3"/>
      <c r="V80" s="3"/>
      <c r="W80" s="3"/>
      <c r="X80" s="3"/>
    </row>
    <row r="81" spans="1:24" ht="72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0"/>
      <c r="P81" s="3"/>
      <c r="Q81" s="3"/>
      <c r="R81" s="3"/>
      <c r="S81" s="3"/>
      <c r="T81" s="3"/>
      <c r="U81" s="3"/>
      <c r="V81" s="3"/>
      <c r="W81" s="3"/>
      <c r="X81" s="3"/>
    </row>
    <row r="82" spans="1:24" ht="72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0"/>
      <c r="P82" s="3"/>
      <c r="Q82" s="3"/>
      <c r="R82" s="3"/>
      <c r="S82" s="3"/>
      <c r="T82" s="3"/>
      <c r="U82" s="3"/>
      <c r="V82" s="3"/>
      <c r="W82" s="3"/>
      <c r="X82" s="3"/>
    </row>
    <row r="83" spans="1:24" ht="72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0"/>
      <c r="P83" s="3"/>
      <c r="Q83" s="3"/>
      <c r="R83" s="3"/>
      <c r="S83" s="3"/>
      <c r="T83" s="3"/>
      <c r="U83" s="3"/>
      <c r="V83" s="3"/>
      <c r="W83" s="3"/>
      <c r="X83" s="3"/>
    </row>
    <row r="84" spans="1:24" ht="72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0"/>
      <c r="P84" s="3"/>
      <c r="Q84" s="3"/>
      <c r="R84" s="3"/>
      <c r="S84" s="3"/>
      <c r="T84" s="3"/>
      <c r="U84" s="3"/>
      <c r="V84" s="3"/>
      <c r="W84" s="3"/>
      <c r="X84" s="3"/>
    </row>
    <row r="85" spans="1:24" ht="72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0"/>
      <c r="P85" s="3"/>
      <c r="Q85" s="3"/>
      <c r="R85" s="3"/>
      <c r="S85" s="3"/>
      <c r="T85" s="3"/>
      <c r="U85" s="3"/>
      <c r="V85" s="3"/>
      <c r="W85" s="3"/>
      <c r="X85" s="3"/>
    </row>
    <row r="86" spans="1:24" ht="72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0"/>
      <c r="P86" s="3"/>
      <c r="Q86" s="3"/>
      <c r="R86" s="3"/>
      <c r="S86" s="3"/>
      <c r="T86" s="3"/>
      <c r="U86" s="3"/>
      <c r="V86" s="3"/>
      <c r="W86" s="3"/>
      <c r="X86" s="3"/>
    </row>
    <row r="87" spans="1:24" ht="72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0"/>
      <c r="P87" s="3"/>
      <c r="Q87" s="3"/>
      <c r="R87" s="3"/>
      <c r="S87" s="3"/>
      <c r="T87" s="3"/>
      <c r="U87" s="3"/>
      <c r="V87" s="3"/>
      <c r="W87" s="3"/>
      <c r="X87" s="3"/>
    </row>
    <row r="88" spans="1:24" ht="72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0"/>
      <c r="P88" s="3"/>
      <c r="Q88" s="3"/>
      <c r="R88" s="3"/>
      <c r="S88" s="3"/>
      <c r="T88" s="3"/>
      <c r="U88" s="3"/>
      <c r="V88" s="3"/>
      <c r="W88" s="3"/>
      <c r="X88" s="3"/>
    </row>
    <row r="89" spans="1:24" ht="72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0"/>
      <c r="P89" s="3"/>
      <c r="Q89" s="3"/>
      <c r="R89" s="3"/>
      <c r="S89" s="3"/>
      <c r="T89" s="3"/>
      <c r="U89" s="3"/>
      <c r="V89" s="3"/>
      <c r="W89" s="3"/>
      <c r="X89" s="3"/>
    </row>
    <row r="90" spans="1:24" ht="72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0"/>
      <c r="P90" s="3"/>
      <c r="Q90" s="3"/>
      <c r="R90" s="3"/>
      <c r="S90" s="3"/>
      <c r="T90" s="3"/>
      <c r="U90" s="3"/>
      <c r="V90" s="3"/>
      <c r="W90" s="3"/>
      <c r="X90" s="3"/>
    </row>
    <row r="91" spans="1:24" ht="72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0"/>
      <c r="P91" s="3"/>
      <c r="Q91" s="3"/>
      <c r="R91" s="3"/>
      <c r="S91" s="3"/>
      <c r="T91" s="3"/>
      <c r="U91" s="3"/>
      <c r="V91" s="3"/>
      <c r="W91" s="3"/>
      <c r="X91" s="3"/>
    </row>
    <row r="92" spans="1:24" ht="72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0"/>
      <c r="P92" s="3"/>
      <c r="Q92" s="3"/>
      <c r="R92" s="3"/>
      <c r="S92" s="3"/>
      <c r="T92" s="3"/>
      <c r="U92" s="3"/>
      <c r="V92" s="3"/>
      <c r="W92" s="3"/>
      <c r="X92" s="3"/>
    </row>
    <row r="93" spans="1:24" ht="72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0"/>
      <c r="P93" s="3"/>
      <c r="Q93" s="3"/>
      <c r="R93" s="3"/>
      <c r="S93" s="3"/>
      <c r="T93" s="3"/>
      <c r="U93" s="3"/>
      <c r="V93" s="3"/>
      <c r="W93" s="3"/>
      <c r="X93" s="3"/>
    </row>
    <row r="94" spans="1:24" ht="72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0"/>
      <c r="P94" s="3"/>
      <c r="Q94" s="3"/>
      <c r="R94" s="3"/>
      <c r="S94" s="3"/>
      <c r="T94" s="3"/>
      <c r="U94" s="3"/>
      <c r="V94" s="3"/>
      <c r="W94" s="3"/>
      <c r="X94" s="3"/>
    </row>
    <row r="95" spans="1:24" ht="72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0"/>
      <c r="P95" s="3"/>
      <c r="Q95" s="3"/>
      <c r="R95" s="3"/>
      <c r="S95" s="3"/>
      <c r="T95" s="3"/>
      <c r="U95" s="3"/>
      <c r="V95" s="3"/>
      <c r="W95" s="3"/>
      <c r="X95" s="3"/>
    </row>
    <row r="96" spans="1:24" ht="72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0"/>
      <c r="P96" s="3"/>
      <c r="Q96" s="3"/>
      <c r="R96" s="3"/>
      <c r="S96" s="3"/>
      <c r="T96" s="3"/>
      <c r="U96" s="3"/>
      <c r="V96" s="3"/>
      <c r="W96" s="3"/>
      <c r="X96" s="3"/>
    </row>
    <row r="97" spans="1:24" ht="72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0"/>
      <c r="P97" s="3"/>
      <c r="Q97" s="3"/>
      <c r="R97" s="3"/>
      <c r="S97" s="3"/>
      <c r="T97" s="3"/>
      <c r="U97" s="3"/>
      <c r="V97" s="3"/>
      <c r="W97" s="3"/>
      <c r="X97" s="3"/>
    </row>
    <row r="98" spans="1:24" ht="72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0"/>
      <c r="P98" s="3"/>
      <c r="Q98" s="3"/>
      <c r="R98" s="3"/>
      <c r="S98" s="3"/>
      <c r="T98" s="3"/>
      <c r="U98" s="3"/>
      <c r="V98" s="3"/>
      <c r="W98" s="3"/>
      <c r="X98" s="3"/>
    </row>
    <row r="99" spans="1:24" ht="72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0"/>
      <c r="P99" s="3"/>
      <c r="Q99" s="3"/>
      <c r="R99" s="3"/>
      <c r="S99" s="3"/>
      <c r="T99" s="3"/>
      <c r="U99" s="3"/>
      <c r="V99" s="3"/>
      <c r="W99" s="3"/>
      <c r="X99" s="3"/>
    </row>
    <row r="100" spans="1:24" ht="72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0"/>
      <c r="P100" s="3"/>
      <c r="Q100" s="3"/>
      <c r="R100" s="3"/>
      <c r="S100" s="3"/>
      <c r="T100" s="3"/>
      <c r="U100" s="3"/>
      <c r="V100" s="3"/>
      <c r="W100" s="3"/>
      <c r="X100" s="3"/>
    </row>
    <row r="101" spans="1:24" ht="72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0"/>
      <c r="P101" s="3"/>
      <c r="Q101" s="3"/>
      <c r="R101" s="3"/>
      <c r="S101" s="3"/>
      <c r="T101" s="3"/>
      <c r="U101" s="3"/>
      <c r="V101" s="3"/>
      <c r="W101" s="3"/>
      <c r="X101" s="3"/>
    </row>
    <row r="102" spans="1:24" ht="72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0"/>
      <c r="P102" s="3"/>
      <c r="Q102" s="3"/>
      <c r="R102" s="3"/>
      <c r="S102" s="3"/>
      <c r="T102" s="3"/>
      <c r="U102" s="3"/>
      <c r="V102" s="3"/>
      <c r="W102" s="3"/>
      <c r="X102" s="3"/>
    </row>
    <row r="103" spans="1:24" ht="72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0"/>
      <c r="P103" s="3"/>
      <c r="Q103" s="3"/>
      <c r="R103" s="3"/>
      <c r="S103" s="3"/>
      <c r="T103" s="3"/>
      <c r="U103" s="3"/>
      <c r="V103" s="3"/>
      <c r="W103" s="3"/>
      <c r="X103" s="3"/>
    </row>
  </sheetData>
  <mergeCells count="1">
    <mergeCell ref="A1:T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4"/>
  <sheetViews>
    <sheetView workbookViewId="0">
      <pane ySplit="3" topLeftCell="A4" activePane="bottomLeft" state="frozen"/>
      <selection pane="bottomLeft"/>
    </sheetView>
  </sheetViews>
  <sheetFormatPr defaultRowHeight="14"/>
  <cols>
    <col min="1" max="1" width="11" customWidth="1"/>
    <col min="2" max="2" width="15" customWidth="1"/>
    <col min="3" max="3" width="34" customWidth="1"/>
    <col min="4" max="4" width="72" customWidth="1"/>
    <col min="5" max="5" width="52" customWidth="1"/>
    <col min="6" max="6" width="22" customWidth="1"/>
    <col min="7" max="7" width="14" customWidth="1"/>
    <col min="8" max="8" width="12" customWidth="1"/>
  </cols>
  <sheetData>
    <row r="1" spans="1:8" ht="30" customHeight="1">
      <c r="A1" s="31" t="s">
        <v>365</v>
      </c>
      <c r="B1" s="32"/>
      <c r="C1" s="32"/>
      <c r="D1" s="32"/>
      <c r="E1" s="32"/>
      <c r="F1" s="32"/>
      <c r="G1" s="32"/>
      <c r="H1" s="32"/>
    </row>
    <row r="3" spans="1:8" ht="30" customHeight="1">
      <c r="A3" s="1" t="s">
        <v>111</v>
      </c>
      <c r="B3" s="1" t="s">
        <v>366</v>
      </c>
      <c r="C3" s="1" t="s">
        <v>367</v>
      </c>
      <c r="D3" s="1" t="s">
        <v>368</v>
      </c>
      <c r="E3" s="1" t="s">
        <v>369</v>
      </c>
      <c r="F3" s="1" t="s">
        <v>370</v>
      </c>
      <c r="G3" s="1" t="s">
        <v>371</v>
      </c>
      <c r="H3" s="1" t="s">
        <v>372</v>
      </c>
    </row>
    <row r="4" spans="1:8">
      <c r="A4" s="4" t="s">
        <v>125</v>
      </c>
      <c r="B4" s="4" t="s">
        <v>201</v>
      </c>
      <c r="C4" s="4" t="s">
        <v>373</v>
      </c>
      <c r="D4" s="4" t="s">
        <v>130</v>
      </c>
      <c r="E4" s="4" t="s">
        <v>374</v>
      </c>
      <c r="F4" s="4" t="s">
        <v>30</v>
      </c>
      <c r="G4" s="4" t="s">
        <v>37</v>
      </c>
      <c r="H4" s="4" t="s">
        <v>375</v>
      </c>
    </row>
    <row r="5" spans="1:8" ht="28">
      <c r="A5" s="4" t="s">
        <v>125</v>
      </c>
      <c r="B5" s="4" t="s">
        <v>201</v>
      </c>
      <c r="C5" s="4" t="s">
        <v>376</v>
      </c>
      <c r="D5" s="4" t="s">
        <v>197</v>
      </c>
      <c r="E5" s="4" t="s">
        <v>377</v>
      </c>
      <c r="F5" s="4" t="s">
        <v>129</v>
      </c>
      <c r="G5" s="4" t="s">
        <v>37</v>
      </c>
      <c r="H5" s="4" t="s">
        <v>375</v>
      </c>
    </row>
    <row r="6" spans="1:8">
      <c r="A6" s="4" t="s">
        <v>125</v>
      </c>
      <c r="B6" s="4" t="s">
        <v>378</v>
      </c>
      <c r="C6" s="4" t="s">
        <v>379</v>
      </c>
      <c r="D6" s="4" t="s">
        <v>131</v>
      </c>
      <c r="E6" s="4" t="s">
        <v>380</v>
      </c>
      <c r="F6" s="4" t="s">
        <v>129</v>
      </c>
      <c r="G6" s="4" t="s">
        <v>37</v>
      </c>
      <c r="H6" s="4" t="s">
        <v>375</v>
      </c>
    </row>
    <row r="7" spans="1:8">
      <c r="A7" s="4" t="s">
        <v>133</v>
      </c>
      <c r="B7" s="4" t="s">
        <v>201</v>
      </c>
      <c r="C7" s="4" t="s">
        <v>373</v>
      </c>
      <c r="D7" s="4" t="s">
        <v>136</v>
      </c>
      <c r="E7" s="4" t="s">
        <v>374</v>
      </c>
      <c r="F7" s="4" t="s">
        <v>30</v>
      </c>
      <c r="G7" s="4" t="s">
        <v>37</v>
      </c>
      <c r="H7" s="4" t="s">
        <v>375</v>
      </c>
    </row>
    <row r="8" spans="1:8" ht="28">
      <c r="A8" s="4" t="s">
        <v>133</v>
      </c>
      <c r="B8" s="4" t="s">
        <v>201</v>
      </c>
      <c r="C8" s="4" t="s">
        <v>376</v>
      </c>
      <c r="D8" s="4" t="s">
        <v>200</v>
      </c>
      <c r="E8" s="4" t="s">
        <v>377</v>
      </c>
      <c r="F8" s="4" t="s">
        <v>129</v>
      </c>
      <c r="G8" s="4" t="s">
        <v>37</v>
      </c>
      <c r="H8" s="4" t="s">
        <v>375</v>
      </c>
    </row>
    <row r="9" spans="1:8">
      <c r="A9" s="4" t="s">
        <v>133</v>
      </c>
      <c r="B9" s="4" t="s">
        <v>378</v>
      </c>
      <c r="C9" s="4" t="s">
        <v>379</v>
      </c>
      <c r="D9" s="4" t="s">
        <v>137</v>
      </c>
      <c r="E9" s="4" t="s">
        <v>380</v>
      </c>
      <c r="F9" s="4" t="s">
        <v>129</v>
      </c>
      <c r="G9" s="4" t="s">
        <v>37</v>
      </c>
      <c r="H9" s="4" t="s">
        <v>375</v>
      </c>
    </row>
    <row r="10" spans="1:8">
      <c r="A10" s="4" t="s">
        <v>138</v>
      </c>
      <c r="B10" s="4" t="s">
        <v>201</v>
      </c>
      <c r="C10" s="4" t="s">
        <v>373</v>
      </c>
      <c r="D10" s="4" t="s">
        <v>141</v>
      </c>
      <c r="E10" s="4" t="s">
        <v>374</v>
      </c>
      <c r="F10" s="4" t="s">
        <v>30</v>
      </c>
      <c r="G10" s="4" t="s">
        <v>37</v>
      </c>
      <c r="H10" s="4" t="s">
        <v>375</v>
      </c>
    </row>
    <row r="11" spans="1:8" ht="28">
      <c r="A11" s="4" t="s">
        <v>138</v>
      </c>
      <c r="B11" s="4" t="s">
        <v>201</v>
      </c>
      <c r="C11" s="4" t="s">
        <v>376</v>
      </c>
      <c r="D11" s="4" t="s">
        <v>203</v>
      </c>
      <c r="E11" s="4" t="s">
        <v>377</v>
      </c>
      <c r="F11" s="4" t="s">
        <v>129</v>
      </c>
      <c r="G11" s="4" t="s">
        <v>37</v>
      </c>
      <c r="H11" s="4" t="s">
        <v>375</v>
      </c>
    </row>
    <row r="12" spans="1:8">
      <c r="A12" s="4" t="s">
        <v>138</v>
      </c>
      <c r="B12" s="4" t="s">
        <v>378</v>
      </c>
      <c r="C12" s="4" t="s">
        <v>379</v>
      </c>
      <c r="D12" s="4" t="s">
        <v>142</v>
      </c>
      <c r="E12" s="4" t="s">
        <v>380</v>
      </c>
      <c r="F12" s="4" t="s">
        <v>129</v>
      </c>
      <c r="G12" s="4" t="s">
        <v>37</v>
      </c>
      <c r="H12" s="4" t="s">
        <v>375</v>
      </c>
    </row>
    <row r="13" spans="1:8">
      <c r="A13" s="4" t="s">
        <v>143</v>
      </c>
      <c r="B13" s="4" t="s">
        <v>201</v>
      </c>
      <c r="C13" s="4" t="s">
        <v>373</v>
      </c>
      <c r="D13" s="4" t="s">
        <v>145</v>
      </c>
      <c r="E13" s="4" t="s">
        <v>374</v>
      </c>
      <c r="F13" s="4" t="s">
        <v>30</v>
      </c>
      <c r="G13" s="4" t="s">
        <v>37</v>
      </c>
      <c r="H13" s="4" t="s">
        <v>375</v>
      </c>
    </row>
    <row r="14" spans="1:8" ht="28">
      <c r="A14" s="4" t="s">
        <v>143</v>
      </c>
      <c r="B14" s="4" t="s">
        <v>201</v>
      </c>
      <c r="C14" s="4" t="s">
        <v>376</v>
      </c>
      <c r="D14" s="4" t="s">
        <v>204</v>
      </c>
      <c r="E14" s="4" t="s">
        <v>377</v>
      </c>
      <c r="F14" s="4" t="s">
        <v>129</v>
      </c>
      <c r="G14" s="4" t="s">
        <v>37</v>
      </c>
      <c r="H14" s="4" t="s">
        <v>375</v>
      </c>
    </row>
    <row r="15" spans="1:8">
      <c r="A15" s="4" t="s">
        <v>143</v>
      </c>
      <c r="B15" s="4" t="s">
        <v>378</v>
      </c>
      <c r="C15" s="4" t="s">
        <v>379</v>
      </c>
      <c r="D15" s="4" t="s">
        <v>146</v>
      </c>
      <c r="E15" s="4" t="s">
        <v>380</v>
      </c>
      <c r="F15" s="4" t="s">
        <v>129</v>
      </c>
      <c r="G15" s="4" t="s">
        <v>37</v>
      </c>
      <c r="H15" s="4" t="s">
        <v>375</v>
      </c>
    </row>
    <row r="16" spans="1:8">
      <c r="A16" s="4" t="s">
        <v>147</v>
      </c>
      <c r="B16" s="4" t="s">
        <v>201</v>
      </c>
      <c r="C16" s="4" t="s">
        <v>373</v>
      </c>
      <c r="D16" s="4" t="s">
        <v>151</v>
      </c>
      <c r="E16" s="4" t="s">
        <v>374</v>
      </c>
      <c r="F16" s="4" t="s">
        <v>30</v>
      </c>
      <c r="G16" s="4" t="s">
        <v>37</v>
      </c>
      <c r="H16" s="4" t="s">
        <v>375</v>
      </c>
    </row>
    <row r="17" spans="1:8" ht="28">
      <c r="A17" s="4" t="s">
        <v>147</v>
      </c>
      <c r="B17" s="4" t="s">
        <v>201</v>
      </c>
      <c r="C17" s="4" t="s">
        <v>376</v>
      </c>
      <c r="D17" s="4" t="s">
        <v>206</v>
      </c>
      <c r="E17" s="4" t="s">
        <v>377</v>
      </c>
      <c r="F17" s="4" t="s">
        <v>150</v>
      </c>
      <c r="G17" s="4" t="s">
        <v>37</v>
      </c>
      <c r="H17" s="4" t="s">
        <v>375</v>
      </c>
    </row>
    <row r="18" spans="1:8">
      <c r="A18" s="4" t="s">
        <v>147</v>
      </c>
      <c r="B18" s="4" t="s">
        <v>378</v>
      </c>
      <c r="C18" s="4" t="s">
        <v>379</v>
      </c>
      <c r="D18" s="4" t="s">
        <v>152</v>
      </c>
      <c r="E18" s="4" t="s">
        <v>380</v>
      </c>
      <c r="F18" s="4" t="s">
        <v>150</v>
      </c>
      <c r="G18" s="4" t="s">
        <v>37</v>
      </c>
      <c r="H18" s="4" t="s">
        <v>375</v>
      </c>
    </row>
    <row r="20" spans="1:8" ht="28">
      <c r="A20" s="4" t="s">
        <v>125</v>
      </c>
      <c r="B20" s="4" t="s">
        <v>381</v>
      </c>
      <c r="C20" s="4" t="s">
        <v>382</v>
      </c>
      <c r="D20" s="4" t="s">
        <v>130</v>
      </c>
      <c r="E20" s="4" t="s">
        <v>383</v>
      </c>
      <c r="F20" s="4" t="s">
        <v>384</v>
      </c>
      <c r="G20" s="4" t="s">
        <v>37</v>
      </c>
      <c r="H20" s="4" t="s">
        <v>385</v>
      </c>
    </row>
    <row r="21" spans="1:8" ht="28">
      <c r="A21" s="4" t="s">
        <v>133</v>
      </c>
      <c r="B21" s="4" t="s">
        <v>201</v>
      </c>
      <c r="C21" s="4" t="s">
        <v>386</v>
      </c>
      <c r="D21" s="4" t="s">
        <v>387</v>
      </c>
      <c r="E21" s="4" t="s">
        <v>388</v>
      </c>
      <c r="F21" s="4" t="s">
        <v>389</v>
      </c>
      <c r="G21" s="4" t="s">
        <v>37</v>
      </c>
      <c r="H21" s="4" t="s">
        <v>375</v>
      </c>
    </row>
    <row r="22" spans="1:8" ht="28">
      <c r="A22" s="4" t="s">
        <v>138</v>
      </c>
      <c r="B22" s="4" t="s">
        <v>201</v>
      </c>
      <c r="C22" s="4" t="s">
        <v>386</v>
      </c>
      <c r="D22" s="4" t="s">
        <v>390</v>
      </c>
      <c r="E22" s="4" t="s">
        <v>391</v>
      </c>
      <c r="F22" s="4" t="s">
        <v>389</v>
      </c>
      <c r="G22" s="4" t="s">
        <v>37</v>
      </c>
      <c r="H22" s="4" t="s">
        <v>375</v>
      </c>
    </row>
    <row r="23" spans="1:8" ht="28">
      <c r="A23" s="4" t="s">
        <v>143</v>
      </c>
      <c r="B23" s="4" t="s">
        <v>201</v>
      </c>
      <c r="C23" s="4" t="s">
        <v>386</v>
      </c>
      <c r="D23" s="4" t="s">
        <v>392</v>
      </c>
      <c r="E23" s="4" t="s">
        <v>393</v>
      </c>
      <c r="F23" s="4" t="s">
        <v>389</v>
      </c>
      <c r="G23" s="4" t="s">
        <v>37</v>
      </c>
      <c r="H23" s="4" t="s">
        <v>375</v>
      </c>
    </row>
    <row r="24" spans="1:8" ht="28">
      <c r="A24" s="4" t="s">
        <v>147</v>
      </c>
      <c r="B24" s="4" t="s">
        <v>394</v>
      </c>
      <c r="C24" s="4" t="s">
        <v>395</v>
      </c>
      <c r="D24" s="4" t="s">
        <v>396</v>
      </c>
      <c r="E24" s="4" t="s">
        <v>397</v>
      </c>
      <c r="F24" s="4" t="s">
        <v>398</v>
      </c>
      <c r="G24" s="4" t="s">
        <v>37</v>
      </c>
      <c r="H24" s="4" t="s">
        <v>385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3"/>
  <sheetViews>
    <sheetView workbookViewId="0">
      <pane ySplit="3" topLeftCell="A4" activePane="bottomLeft" state="frozen"/>
      <selection pane="bottomLeft"/>
    </sheetView>
  </sheetViews>
  <sheetFormatPr defaultRowHeight="14"/>
  <cols>
    <col min="1" max="1" width="9" customWidth="1"/>
    <col min="2" max="2" width="18" customWidth="1"/>
    <col min="3" max="3" width="44" customWidth="1"/>
    <col min="4" max="4" width="16" customWidth="1"/>
    <col min="5" max="5" width="15" customWidth="1"/>
    <col min="6" max="6" width="14" customWidth="1"/>
    <col min="7" max="7" width="28" customWidth="1"/>
    <col min="8" max="8" width="14" customWidth="1"/>
    <col min="9" max="9" width="32" customWidth="1"/>
    <col min="10" max="10" width="42" customWidth="1"/>
  </cols>
  <sheetData>
    <row r="1" spans="1:10" ht="30" customHeight="1">
      <c r="A1" s="31" t="s">
        <v>399</v>
      </c>
      <c r="B1" s="32"/>
      <c r="C1" s="32"/>
      <c r="D1" s="32"/>
      <c r="E1" s="32"/>
      <c r="F1" s="32"/>
      <c r="G1" s="32"/>
      <c r="H1" s="32"/>
      <c r="I1" s="32"/>
      <c r="J1" s="32"/>
    </row>
    <row r="3" spans="1:10" ht="30" customHeight="1">
      <c r="A3" s="1" t="s">
        <v>116</v>
      </c>
      <c r="B3" s="1" t="s">
        <v>400</v>
      </c>
      <c r="C3" s="1" t="s">
        <v>401</v>
      </c>
      <c r="D3" s="1" t="s">
        <v>75</v>
      </c>
      <c r="E3" s="1" t="s">
        <v>36</v>
      </c>
      <c r="F3" s="1" t="s">
        <v>118</v>
      </c>
      <c r="G3" s="1" t="s">
        <v>402</v>
      </c>
      <c r="H3" s="1" t="s">
        <v>403</v>
      </c>
      <c r="I3" s="1" t="s">
        <v>404</v>
      </c>
      <c r="J3" s="1" t="s">
        <v>46</v>
      </c>
    </row>
    <row r="4" spans="1:10">
      <c r="A4" s="4">
        <v>1</v>
      </c>
      <c r="B4" s="4" t="s">
        <v>405</v>
      </c>
      <c r="C4" s="4" t="s">
        <v>406</v>
      </c>
      <c r="D4" s="4" t="s">
        <v>128</v>
      </c>
      <c r="E4" s="4" t="s">
        <v>37</v>
      </c>
      <c r="F4" s="4" t="s">
        <v>30</v>
      </c>
      <c r="G4" s="4" t="s">
        <v>407</v>
      </c>
      <c r="H4" s="4" t="s">
        <v>408</v>
      </c>
      <c r="I4" s="4" t="s">
        <v>409</v>
      </c>
      <c r="J4" s="4" t="s">
        <v>410</v>
      </c>
    </row>
    <row r="5" spans="1:10">
      <c r="A5" s="4">
        <v>2</v>
      </c>
      <c r="B5" s="4" t="s">
        <v>411</v>
      </c>
      <c r="C5" s="4"/>
      <c r="D5" s="4" t="s">
        <v>153</v>
      </c>
      <c r="E5" s="4"/>
      <c r="F5" s="4"/>
      <c r="G5" s="4"/>
      <c r="H5" s="4" t="s">
        <v>153</v>
      </c>
      <c r="I5" s="4" t="s">
        <v>412</v>
      </c>
      <c r="J5" s="4"/>
    </row>
    <row r="6" spans="1:10">
      <c r="A6" s="4">
        <v>3</v>
      </c>
      <c r="B6" s="4" t="s">
        <v>413</v>
      </c>
      <c r="C6" s="4"/>
      <c r="D6" s="4" t="s">
        <v>153</v>
      </c>
      <c r="E6" s="4"/>
      <c r="F6" s="4"/>
      <c r="G6" s="4"/>
      <c r="H6" s="4" t="s">
        <v>153</v>
      </c>
      <c r="I6" s="4" t="s">
        <v>412</v>
      </c>
      <c r="J6" s="4"/>
    </row>
    <row r="7" spans="1:10">
      <c r="A7" s="4">
        <v>4</v>
      </c>
      <c r="B7" s="4" t="s">
        <v>414</v>
      </c>
      <c r="C7" s="4"/>
      <c r="D7" s="4" t="s">
        <v>153</v>
      </c>
      <c r="E7" s="4"/>
      <c r="F7" s="4"/>
      <c r="G7" s="4"/>
      <c r="H7" s="4" t="s">
        <v>153</v>
      </c>
      <c r="I7" s="4" t="s">
        <v>412</v>
      </c>
      <c r="J7" s="4"/>
    </row>
    <row r="8" spans="1:10">
      <c r="A8" s="4">
        <v>5</v>
      </c>
      <c r="B8" s="4" t="s">
        <v>415</v>
      </c>
      <c r="C8" s="4"/>
      <c r="D8" s="4" t="s">
        <v>153</v>
      </c>
      <c r="E8" s="4"/>
      <c r="F8" s="4"/>
      <c r="G8" s="4"/>
      <c r="H8" s="4" t="s">
        <v>153</v>
      </c>
      <c r="I8" s="4" t="s">
        <v>412</v>
      </c>
      <c r="J8" s="4"/>
    </row>
    <row r="9" spans="1:10">
      <c r="A9" s="4">
        <v>6</v>
      </c>
      <c r="B9" s="4" t="s">
        <v>416</v>
      </c>
      <c r="C9" s="4"/>
      <c r="D9" s="4" t="s">
        <v>153</v>
      </c>
      <c r="E9" s="4"/>
      <c r="F9" s="4"/>
      <c r="G9" s="4"/>
      <c r="H9" s="4" t="s">
        <v>153</v>
      </c>
      <c r="I9" s="4" t="s">
        <v>412</v>
      </c>
      <c r="J9" s="4"/>
    </row>
    <row r="10" spans="1:10">
      <c r="A10" s="4">
        <v>7</v>
      </c>
      <c r="B10" s="4" t="s">
        <v>417</v>
      </c>
      <c r="C10" s="4"/>
      <c r="D10" s="4" t="s">
        <v>153</v>
      </c>
      <c r="E10" s="4"/>
      <c r="F10" s="4"/>
      <c r="G10" s="4"/>
      <c r="H10" s="4" t="s">
        <v>153</v>
      </c>
      <c r="I10" s="4" t="s">
        <v>412</v>
      </c>
      <c r="J10" s="4"/>
    </row>
    <row r="11" spans="1:10">
      <c r="A11" s="4">
        <v>8</v>
      </c>
      <c r="B11" s="4" t="s">
        <v>418</v>
      </c>
      <c r="C11" s="4"/>
      <c r="D11" s="4" t="s">
        <v>153</v>
      </c>
      <c r="E11" s="4"/>
      <c r="F11" s="4"/>
      <c r="G11" s="4"/>
      <c r="H11" s="4" t="s">
        <v>153</v>
      </c>
      <c r="I11" s="4" t="s">
        <v>412</v>
      </c>
      <c r="J11" s="4"/>
    </row>
    <row r="12" spans="1:10">
      <c r="A12" s="4">
        <v>9</v>
      </c>
      <c r="B12" s="4" t="s">
        <v>419</v>
      </c>
      <c r="C12" s="4"/>
      <c r="D12" s="4" t="s">
        <v>153</v>
      </c>
      <c r="E12" s="4"/>
      <c r="F12" s="4"/>
      <c r="G12" s="4"/>
      <c r="H12" s="4" t="s">
        <v>153</v>
      </c>
      <c r="I12" s="4" t="s">
        <v>412</v>
      </c>
      <c r="J12" s="4"/>
    </row>
    <row r="13" spans="1:10">
      <c r="A13" s="4">
        <v>10</v>
      </c>
      <c r="B13" s="4" t="s">
        <v>420</v>
      </c>
      <c r="C13" s="4"/>
      <c r="D13" s="4" t="s">
        <v>153</v>
      </c>
      <c r="E13" s="4"/>
      <c r="F13" s="4"/>
      <c r="G13" s="4"/>
      <c r="H13" s="4" t="s">
        <v>153</v>
      </c>
      <c r="I13" s="4" t="s">
        <v>412</v>
      </c>
      <c r="J13" s="4"/>
    </row>
    <row r="14" spans="1:10">
      <c r="A14" s="4">
        <v>11</v>
      </c>
      <c r="B14" s="4" t="s">
        <v>421</v>
      </c>
      <c r="C14" s="4"/>
      <c r="D14" s="4" t="s">
        <v>153</v>
      </c>
      <c r="E14" s="4"/>
      <c r="F14" s="4"/>
      <c r="G14" s="4"/>
      <c r="H14" s="4" t="s">
        <v>153</v>
      </c>
      <c r="I14" s="4" t="s">
        <v>412</v>
      </c>
      <c r="J14" s="4"/>
    </row>
    <row r="15" spans="1:10">
      <c r="A15" s="4">
        <v>12</v>
      </c>
      <c r="B15" s="4" t="s">
        <v>422</v>
      </c>
      <c r="C15" s="4"/>
      <c r="D15" s="4" t="s">
        <v>153</v>
      </c>
      <c r="E15" s="4"/>
      <c r="F15" s="4"/>
      <c r="G15" s="4"/>
      <c r="H15" s="4" t="s">
        <v>153</v>
      </c>
      <c r="I15" s="4" t="s">
        <v>412</v>
      </c>
      <c r="J15" s="4"/>
    </row>
    <row r="16" spans="1:10">
      <c r="A16" s="4">
        <v>13</v>
      </c>
      <c r="B16" s="4" t="s">
        <v>423</v>
      </c>
      <c r="C16" s="4"/>
      <c r="D16" s="4" t="s">
        <v>153</v>
      </c>
      <c r="E16" s="4"/>
      <c r="F16" s="4"/>
      <c r="G16" s="4"/>
      <c r="H16" s="4" t="s">
        <v>153</v>
      </c>
      <c r="I16" s="4" t="s">
        <v>412</v>
      </c>
      <c r="J16" s="4"/>
    </row>
    <row r="17" spans="1:10">
      <c r="A17" s="4">
        <v>14</v>
      </c>
      <c r="B17" s="4" t="s">
        <v>424</v>
      </c>
      <c r="C17" s="4"/>
      <c r="D17" s="4" t="s">
        <v>153</v>
      </c>
      <c r="E17" s="4"/>
      <c r="F17" s="4"/>
      <c r="G17" s="4"/>
      <c r="H17" s="4" t="s">
        <v>153</v>
      </c>
      <c r="I17" s="4" t="s">
        <v>412</v>
      </c>
      <c r="J17" s="4"/>
    </row>
    <row r="18" spans="1:10">
      <c r="A18" s="4">
        <v>15</v>
      </c>
      <c r="B18" s="4" t="s">
        <v>425</v>
      </c>
      <c r="C18" s="4"/>
      <c r="D18" s="4" t="s">
        <v>153</v>
      </c>
      <c r="E18" s="4"/>
      <c r="F18" s="4"/>
      <c r="G18" s="4"/>
      <c r="H18" s="4" t="s">
        <v>153</v>
      </c>
      <c r="I18" s="4" t="s">
        <v>412</v>
      </c>
      <c r="J18" s="4"/>
    </row>
    <row r="19" spans="1:10">
      <c r="A19" s="4">
        <v>16</v>
      </c>
      <c r="B19" s="4" t="s">
        <v>426</v>
      </c>
      <c r="C19" s="4"/>
      <c r="D19" s="4" t="s">
        <v>153</v>
      </c>
      <c r="E19" s="4"/>
      <c r="F19" s="4"/>
      <c r="G19" s="4"/>
      <c r="H19" s="4" t="s">
        <v>153</v>
      </c>
      <c r="I19" s="4" t="s">
        <v>412</v>
      </c>
      <c r="J19" s="4"/>
    </row>
    <row r="20" spans="1:10">
      <c r="A20" s="4">
        <v>17</v>
      </c>
      <c r="B20" s="4" t="s">
        <v>427</v>
      </c>
      <c r="C20" s="4"/>
      <c r="D20" s="4" t="s">
        <v>153</v>
      </c>
      <c r="E20" s="4"/>
      <c r="F20" s="4"/>
      <c r="G20" s="4"/>
      <c r="H20" s="4" t="s">
        <v>153</v>
      </c>
      <c r="I20" s="4" t="s">
        <v>412</v>
      </c>
      <c r="J20" s="4"/>
    </row>
    <row r="21" spans="1:10">
      <c r="A21" s="4">
        <v>18</v>
      </c>
      <c r="B21" s="4" t="s">
        <v>428</v>
      </c>
      <c r="C21" s="4"/>
      <c r="D21" s="4" t="s">
        <v>153</v>
      </c>
      <c r="E21" s="4"/>
      <c r="F21" s="4"/>
      <c r="G21" s="4"/>
      <c r="H21" s="4" t="s">
        <v>153</v>
      </c>
      <c r="I21" s="4" t="s">
        <v>412</v>
      </c>
      <c r="J21" s="4"/>
    </row>
    <row r="22" spans="1:10">
      <c r="A22" s="4">
        <v>19</v>
      </c>
      <c r="B22" s="4" t="s">
        <v>429</v>
      </c>
      <c r="C22" s="4"/>
      <c r="D22" s="4" t="s">
        <v>153</v>
      </c>
      <c r="E22" s="4"/>
      <c r="F22" s="4"/>
      <c r="G22" s="4"/>
      <c r="H22" s="4" t="s">
        <v>153</v>
      </c>
      <c r="I22" s="4" t="s">
        <v>412</v>
      </c>
      <c r="J22" s="4"/>
    </row>
    <row r="23" spans="1:10">
      <c r="A23" s="4">
        <v>20</v>
      </c>
      <c r="B23" s="4" t="s">
        <v>430</v>
      </c>
      <c r="C23" s="4"/>
      <c r="D23" s="4" t="s">
        <v>153</v>
      </c>
      <c r="E23" s="4"/>
      <c r="F23" s="4"/>
      <c r="G23" s="4"/>
      <c r="H23" s="4" t="s">
        <v>153</v>
      </c>
      <c r="I23" s="4" t="s">
        <v>412</v>
      </c>
      <c r="J23" s="4"/>
    </row>
  </sheetData>
  <mergeCells count="1">
    <mergeCell ref="A1:J1"/>
  </mergeCells>
  <dataValidations count="2">
    <dataValidation type="list" sqref="D4:D23" xr:uid="{00000000-0002-0000-0800-000000000000}">
      <formula1>"Pending,In Progress,Completed,Needs Update"</formula1>
    </dataValidation>
    <dataValidation type="list" sqref="H4:H23" xr:uid="{00000000-0002-0000-0800-000001000000}">
      <formula1>"Pending,Reviewed,Recheck"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7"/>
  <sheetViews>
    <sheetView workbookViewId="0">
      <pane ySplit="3" topLeftCell="A4" activePane="bottomLeft" state="frozen"/>
      <selection pane="bottomLeft"/>
    </sheetView>
  </sheetViews>
  <sheetFormatPr defaultRowHeight="14"/>
  <cols>
    <col min="1" max="1" width="8" customWidth="1"/>
    <col min="2" max="2" width="100" customWidth="1"/>
    <col min="3" max="3" width="28" customWidth="1"/>
    <col min="4" max="4" width="13" customWidth="1"/>
    <col min="5" max="5" width="20" customWidth="1"/>
    <col min="6" max="6" width="11" customWidth="1"/>
    <col min="7" max="7" width="23" customWidth="1"/>
    <col min="8" max="8" width="18" customWidth="1"/>
    <col min="9" max="9" width="12" customWidth="1"/>
    <col min="10" max="10" width="18" customWidth="1"/>
  </cols>
  <sheetData>
    <row r="1" spans="1:10" ht="30" customHeight="1">
      <c r="A1" s="33" t="s">
        <v>431</v>
      </c>
      <c r="B1" s="32"/>
      <c r="C1" s="32"/>
      <c r="D1" s="32"/>
      <c r="E1" s="32"/>
      <c r="F1" s="32"/>
      <c r="G1" s="32"/>
      <c r="H1" s="32"/>
      <c r="I1" s="32"/>
      <c r="J1" s="32"/>
    </row>
    <row r="3" spans="1:10">
      <c r="A3" s="34" t="s">
        <v>110</v>
      </c>
      <c r="B3" s="34" t="s">
        <v>111</v>
      </c>
      <c r="C3" s="34" t="s">
        <v>113</v>
      </c>
      <c r="D3" s="34" t="s">
        <v>432</v>
      </c>
      <c r="E3" s="34" t="s">
        <v>115</v>
      </c>
      <c r="F3" s="34" t="s">
        <v>210</v>
      </c>
      <c r="G3" s="34" t="s">
        <v>433</v>
      </c>
      <c r="H3" s="34" t="s">
        <v>194</v>
      </c>
      <c r="I3" s="34" t="s">
        <v>82</v>
      </c>
      <c r="J3" s="34" t="s">
        <v>162</v>
      </c>
    </row>
    <row r="4" spans="1:10">
      <c r="A4" s="3">
        <v>1</v>
      </c>
      <c r="B4" s="3" t="s">
        <v>125</v>
      </c>
      <c r="C4" s="18" t="str">
        <f>'01_Universe'!D4</f>
        <v>Electronic Components</v>
      </c>
      <c r="D4" s="19">
        <f>'01_Universe'!E4</f>
        <v>268</v>
      </c>
      <c r="E4" s="19">
        <f>'01_Universe'!F4</f>
        <v>3342982.73</v>
      </c>
      <c r="F4" s="20">
        <f>'04_Valuation'!D4</f>
        <v>111.98</v>
      </c>
      <c r="G4" s="19">
        <f>'03_Financials'!D4</f>
        <v>15155.77</v>
      </c>
      <c r="H4" s="13">
        <v>0.19</v>
      </c>
      <c r="I4" s="4" t="s">
        <v>290</v>
      </c>
      <c r="J4" s="18" t="str">
        <f>'04_Valuation'!J4</f>
        <v>Very Expensive</v>
      </c>
    </row>
    <row r="5" spans="1:10">
      <c r="A5" s="21">
        <v>2</v>
      </c>
      <c r="B5" s="22" t="s">
        <v>133</v>
      </c>
      <c r="C5" s="18" t="str">
        <f>'01_Universe'!D5</f>
        <v>Energy &amp; Utilities</v>
      </c>
      <c r="D5" s="23">
        <f>'01_Universe'!E5</f>
        <v>40.5</v>
      </c>
      <c r="E5" s="24">
        <f>'01_Universe'!F5</f>
        <v>1156801.3500000001</v>
      </c>
      <c r="F5" s="20">
        <f>'04_Valuation'!D5</f>
        <v>9.2799999999999994</v>
      </c>
      <c r="G5" s="19">
        <f>'03_Financials'!D5</f>
        <v>78262.89</v>
      </c>
      <c r="H5" s="13">
        <v>2.2200000000000002</v>
      </c>
      <c r="I5" s="4" t="s">
        <v>290</v>
      </c>
      <c r="J5" s="18" t="str">
        <f>'04_Valuation'!J5</f>
        <v>Cheap</v>
      </c>
    </row>
    <row r="6" spans="1:10" ht="28">
      <c r="A6" s="21">
        <v>3</v>
      </c>
      <c r="B6" s="22" t="s">
        <v>138</v>
      </c>
      <c r="C6" s="18" t="str">
        <f>'01_Universe'!D6</f>
        <v>Information &amp; Communication Technology</v>
      </c>
      <c r="D6" s="23">
        <f>'01_Universe'!E6</f>
        <v>339</v>
      </c>
      <c r="E6" s="24">
        <f>'01_Universe'!F6</f>
        <v>1008257.19</v>
      </c>
      <c r="F6" s="20">
        <f>'04_Valuation'!D6</f>
        <v>18.95</v>
      </c>
      <c r="G6" s="19">
        <f>'03_Financials'!D6</f>
        <v>27211.51</v>
      </c>
      <c r="H6" s="13">
        <v>1.86</v>
      </c>
      <c r="I6" s="4" t="s">
        <v>290</v>
      </c>
      <c r="J6" s="18" t="str">
        <f>'04_Valuation'!J6</f>
        <v>Fair Value</v>
      </c>
    </row>
    <row r="7" spans="1:10">
      <c r="A7" s="21">
        <v>4</v>
      </c>
      <c r="B7" s="22" t="s">
        <v>143</v>
      </c>
      <c r="C7" s="18" t="str">
        <f>'01_Universe'!D7</f>
        <v>Energy &amp; Utilities</v>
      </c>
      <c r="D7" s="23">
        <f>'01_Universe'!E7</f>
        <v>59.75</v>
      </c>
      <c r="E7" s="24">
        <f>'01_Universe'!F7</f>
        <v>892655.3</v>
      </c>
      <c r="F7" s="20">
        <f>'04_Valuation'!D7</f>
        <v>11.92</v>
      </c>
      <c r="G7" s="19">
        <f>'03_Financials'!D7</f>
        <v>21562.49</v>
      </c>
      <c r="H7" s="13">
        <v>4.2</v>
      </c>
      <c r="I7" s="4" t="s">
        <v>290</v>
      </c>
      <c r="J7" s="18" t="str">
        <f>'04_Valuation'!J7</f>
        <v>Fair Value</v>
      </c>
    </row>
    <row r="8" spans="1:10">
      <c r="A8" s="21">
        <v>5</v>
      </c>
      <c r="B8" s="22" t="s">
        <v>147</v>
      </c>
      <c r="C8" s="18" t="str">
        <f>'01_Universe'!D8</f>
        <v>Transportation &amp; Logistics</v>
      </c>
      <c r="D8" s="23">
        <f>'01_Universe'!E8</f>
        <v>59.75</v>
      </c>
      <c r="E8" s="24">
        <f>'01_Universe'!F8</f>
        <v>853570.58</v>
      </c>
      <c r="F8" s="20">
        <f>'04_Valuation'!D8</f>
        <v>45.71</v>
      </c>
      <c r="G8" s="19">
        <f>'03_Financials'!D8</f>
        <v>14812.34</v>
      </c>
      <c r="H8" s="13">
        <v>0.24</v>
      </c>
      <c r="I8" s="4" t="s">
        <v>290</v>
      </c>
      <c r="J8" s="18" t="str">
        <f>'04_Valuation'!J8</f>
        <v>Expensive</v>
      </c>
    </row>
    <row r="11" spans="1:10" ht="30" customHeight="1">
      <c r="A11" s="35" t="s">
        <v>434</v>
      </c>
      <c r="B11" s="36"/>
      <c r="C11" s="36"/>
      <c r="D11" s="36"/>
      <c r="E11" s="36"/>
      <c r="F11" s="36"/>
      <c r="G11" s="36"/>
      <c r="H11" s="36"/>
      <c r="I11" s="36"/>
      <c r="J11" s="36"/>
    </row>
    <row r="12" spans="1:10">
      <c r="A12" s="4"/>
      <c r="B12" s="4"/>
      <c r="C12" s="4"/>
      <c r="D12" s="4"/>
      <c r="E12" s="16"/>
      <c r="F12" s="4"/>
      <c r="G12" s="4"/>
      <c r="H12" s="5"/>
      <c r="I12" s="5"/>
      <c r="J12" s="4"/>
    </row>
    <row r="13" spans="1:10">
      <c r="A13" s="25" t="s">
        <v>435</v>
      </c>
      <c r="B13" s="4" t="s">
        <v>436</v>
      </c>
      <c r="C13" s="4"/>
      <c r="D13" s="4"/>
      <c r="E13" s="16"/>
      <c r="F13" s="4"/>
      <c r="G13" s="4"/>
      <c r="H13" s="5"/>
      <c r="I13" s="5"/>
      <c r="J13" s="4"/>
    </row>
    <row r="14" spans="1:10">
      <c r="A14" s="25" t="s">
        <v>437</v>
      </c>
      <c r="B14" s="4" t="s">
        <v>438</v>
      </c>
      <c r="C14" s="4"/>
      <c r="D14" s="4"/>
      <c r="E14" s="16"/>
      <c r="F14" s="4"/>
      <c r="G14" s="4"/>
      <c r="H14" s="5"/>
      <c r="I14" s="5"/>
      <c r="J14" s="4"/>
    </row>
    <row r="15" spans="1:10">
      <c r="A15" s="25" t="s">
        <v>439</v>
      </c>
      <c r="B15" s="4" t="s">
        <v>440</v>
      </c>
      <c r="C15" s="4"/>
      <c r="D15" s="4"/>
      <c r="E15" s="16"/>
      <c r="F15" s="4"/>
      <c r="G15" s="4"/>
      <c r="H15" s="5"/>
      <c r="I15" s="5"/>
      <c r="J15" s="4"/>
    </row>
    <row r="16" spans="1:10">
      <c r="A16" s="25" t="s">
        <v>441</v>
      </c>
      <c r="B16" s="4" t="s">
        <v>442</v>
      </c>
      <c r="C16" s="4"/>
      <c r="D16" s="4"/>
      <c r="E16" s="16"/>
      <c r="F16" s="4"/>
      <c r="G16" s="4"/>
      <c r="H16" s="5"/>
      <c r="I16" s="5"/>
      <c r="J16" s="4"/>
    </row>
    <row r="17" spans="1:2">
      <c r="A17" s="2" t="s">
        <v>443</v>
      </c>
      <c r="B17" s="3" t="s">
        <v>444</v>
      </c>
    </row>
  </sheetData>
  <mergeCells count="3">
    <mergeCell ref="A1:J1"/>
    <mergeCell ref="A3:J3"/>
    <mergeCell ref="A11:J11"/>
  </mergeCells>
  <conditionalFormatting sqref="E12:E16">
    <cfRule type="dataBar" priority="1">
      <dataBar>
        <cfvo type="min"/>
        <cfvo type="max"/>
        <color rgb="FFA02B93"/>
      </dataBar>
    </cfRule>
    <cfRule type="dataBar" priority="2">
      <dataBar>
        <cfvo type="min"/>
        <cfvo type="max"/>
        <color rgb="FFA02B93"/>
      </dataBar>
      <extLst>
        <ext xmlns:x14="http://schemas.microsoft.com/office/spreadsheetml/2009/9/main" uri="{B025F937-C7B1-47D3-B67F-A62EFF666E3E}">
          <x14:id>{520FDD8D-B478-10BE-604B-8D97B382B9B9}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0FDD8D-B478-10BE-604B-8D97B382B9B9}">
            <x14:dataBar>
              <x14:cfvo type="min"/>
              <x14:cfvo type="max"/>
              <x14:negativeFillColor auto="1"/>
              <x14:axisColor auto="1"/>
            </x14:dataBar>
          </x14:cfRule>
          <xm:sqref>E12:E16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3"/>
  <sheetViews>
    <sheetView workbookViewId="0"/>
  </sheetViews>
  <sheetFormatPr defaultRowHeight="14"/>
  <cols>
    <col min="1" max="1" width="28" customWidth="1"/>
    <col min="2" max="2" width="58" customWidth="1"/>
    <col min="4" max="4" width="24" customWidth="1"/>
    <col min="5" max="6" width="40" customWidth="1"/>
    <col min="7" max="7" width="28" customWidth="1"/>
    <col min="8" max="8" width="36" customWidth="1"/>
  </cols>
  <sheetData>
    <row r="1" spans="1:8" ht="20" customHeight="1">
      <c r="A1" s="37" t="s">
        <v>445</v>
      </c>
      <c r="B1" s="32"/>
      <c r="C1" s="32"/>
      <c r="D1" s="32"/>
      <c r="E1" s="32"/>
      <c r="F1" s="32"/>
      <c r="G1" s="32"/>
      <c r="H1" s="32"/>
    </row>
    <row r="3" spans="1:8">
      <c r="A3" s="26" t="s">
        <v>446</v>
      </c>
      <c r="B3" s="26" t="s">
        <v>447</v>
      </c>
      <c r="D3" s="26" t="s">
        <v>121</v>
      </c>
      <c r="E3" s="26" t="s">
        <v>448</v>
      </c>
      <c r="F3" s="26" t="s">
        <v>449</v>
      </c>
      <c r="G3" s="26" t="s">
        <v>450</v>
      </c>
      <c r="H3" s="26" t="s">
        <v>451</v>
      </c>
    </row>
    <row r="4" spans="1:8">
      <c r="A4" s="2" t="s">
        <v>452</v>
      </c>
      <c r="B4" s="3" t="s">
        <v>453</v>
      </c>
      <c r="D4" s="3" t="s">
        <v>132</v>
      </c>
      <c r="E4" s="3" t="s">
        <v>454</v>
      </c>
      <c r="F4" s="3" t="s">
        <v>455</v>
      </c>
      <c r="G4" s="3" t="s">
        <v>456</v>
      </c>
      <c r="H4" s="3" t="s">
        <v>457</v>
      </c>
    </row>
    <row r="5" spans="1:8" ht="28">
      <c r="A5" s="2" t="s">
        <v>8</v>
      </c>
      <c r="B5" s="3" t="s">
        <v>458</v>
      </c>
      <c r="D5" s="3" t="s">
        <v>459</v>
      </c>
      <c r="E5" s="3" t="s">
        <v>460</v>
      </c>
      <c r="F5" s="3" t="s">
        <v>461</v>
      </c>
      <c r="G5" s="3" t="s">
        <v>462</v>
      </c>
      <c r="H5" s="3" t="s">
        <v>463</v>
      </c>
    </row>
    <row r="6" spans="1:8" ht="28">
      <c r="A6" s="2" t="s">
        <v>464</v>
      </c>
      <c r="B6" s="3" t="s">
        <v>465</v>
      </c>
      <c r="D6" s="3" t="s">
        <v>466</v>
      </c>
      <c r="E6" s="3" t="s">
        <v>467</v>
      </c>
      <c r="F6" s="3" t="s">
        <v>468</v>
      </c>
      <c r="G6" s="3" t="s">
        <v>469</v>
      </c>
      <c r="H6" s="3" t="s">
        <v>470</v>
      </c>
    </row>
    <row r="7" spans="1:8">
      <c r="A7" s="2" t="s">
        <v>471</v>
      </c>
      <c r="B7" s="3" t="s">
        <v>443</v>
      </c>
    </row>
    <row r="8" spans="1:8">
      <c r="A8" s="2" t="s">
        <v>472</v>
      </c>
      <c r="B8" s="3" t="s">
        <v>473</v>
      </c>
    </row>
    <row r="9" spans="1:8">
      <c r="A9" s="2" t="s">
        <v>122</v>
      </c>
      <c r="B9" s="3" t="s">
        <v>30</v>
      </c>
    </row>
    <row r="10" spans="1:8">
      <c r="A10" s="2" t="s">
        <v>123</v>
      </c>
      <c r="B10" s="3" t="s">
        <v>407</v>
      </c>
    </row>
    <row r="11" spans="1:8">
      <c r="A11" s="2" t="s">
        <v>124</v>
      </c>
      <c r="B11" s="3" t="s">
        <v>37</v>
      </c>
    </row>
    <row r="12" spans="1:8">
      <c r="A12" s="2" t="s">
        <v>474</v>
      </c>
      <c r="B12" s="3" t="s">
        <v>57</v>
      </c>
    </row>
    <row r="14" spans="1:8">
      <c r="A14" s="2" t="s">
        <v>475</v>
      </c>
      <c r="B14" s="3" t="s">
        <v>476</v>
      </c>
    </row>
    <row r="15" spans="1:8">
      <c r="A15" s="2" t="s">
        <v>477</v>
      </c>
      <c r="B15" s="3" t="s">
        <v>478</v>
      </c>
    </row>
    <row r="16" spans="1:8">
      <c r="A16" s="2" t="s">
        <v>479</v>
      </c>
      <c r="B16" s="3" t="s">
        <v>480</v>
      </c>
    </row>
    <row r="17" spans="1:2">
      <c r="A17" s="2" t="s">
        <v>452</v>
      </c>
      <c r="B17" s="3" t="s">
        <v>481</v>
      </c>
    </row>
    <row r="19" spans="1:2">
      <c r="A19" s="2" t="s">
        <v>452</v>
      </c>
      <c r="B19" s="3" t="s">
        <v>482</v>
      </c>
    </row>
    <row r="20" spans="1:2">
      <c r="A20" s="2" t="s">
        <v>483</v>
      </c>
      <c r="B20" s="3" t="s">
        <v>484</v>
      </c>
    </row>
    <row r="21" spans="1:2">
      <c r="A21" s="2" t="s">
        <v>485</v>
      </c>
      <c r="B21" s="3" t="s">
        <v>486</v>
      </c>
    </row>
    <row r="22" spans="1:2">
      <c r="A22" s="2" t="s">
        <v>487</v>
      </c>
      <c r="B22" s="3" t="s">
        <v>98</v>
      </c>
    </row>
    <row r="23" spans="1:2">
      <c r="A23" s="2" t="s">
        <v>488</v>
      </c>
      <c r="B23" s="3" t="s">
        <v>489</v>
      </c>
    </row>
  </sheetData>
  <mergeCells count="1">
    <mergeCell ref="A1:H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3A0821DF6FD4469252960B17861375" ma:contentTypeVersion="17" ma:contentTypeDescription="Create a new document." ma:contentTypeScope="" ma:versionID="8eac782194c02137ccf781392fbebd11">
  <xsd:schema xmlns:xsd="http://www.w3.org/2001/XMLSchema" xmlns:xs="http://www.w3.org/2001/XMLSchema" xmlns:p="http://schemas.microsoft.com/office/2006/metadata/properties" xmlns:ns2="003dddc5-2e57-48b7-a164-660500ac42fb" xmlns:ns3="0e63d9a7-3cd1-47cf-ad5a-1488b1aa6c8e" targetNamespace="http://schemas.microsoft.com/office/2006/metadata/properties" ma:root="true" ma:fieldsID="3bdab2e6179d12a1af8a55f51cf7b035" ns2:_="" ns3:_="">
    <xsd:import namespace="003dddc5-2e57-48b7-a164-660500ac42fb"/>
    <xsd:import namespace="0e63d9a7-3cd1-47cf-ad5a-1488b1aa6c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3dddc5-2e57-48b7-a164-660500ac42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3b381485-9db7-4f93-88a1-9072fc5827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3d9a7-3cd1-47cf-ad5a-1488b1aa6c8e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26410a5a-dff8-420b-8965-9ed4bf2428a9}" ma:internalName="TaxCatchAll" ma:showField="CatchAllData" ma:web="0e63d9a7-3cd1-47cf-ad5a-1488b1aa6c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03dddc5-2e57-48b7-a164-660500ac42fb">
      <Terms xmlns="http://schemas.microsoft.com/office/infopath/2007/PartnerControls"/>
    </lcf76f155ced4ddcb4097134ff3c332f>
    <TaxCatchAll xmlns="0e63d9a7-3cd1-47cf-ad5a-1488b1aa6c8e" xsi:nil="true"/>
  </documentManagement>
</p:properties>
</file>

<file path=customXml/itemProps1.xml><?xml version="1.0" encoding="utf-8"?>
<ds:datastoreItem xmlns:ds="http://schemas.openxmlformats.org/officeDocument/2006/customXml" ds:itemID="{0953B879-1195-46EE-80A3-BEC679754A71}"/>
</file>

<file path=customXml/itemProps2.xml><?xml version="1.0" encoding="utf-8"?>
<ds:datastoreItem xmlns:ds="http://schemas.openxmlformats.org/officeDocument/2006/customXml" ds:itemID="{F17A6A3F-2D42-4D34-BE65-2BEB6A32E2AD}"/>
</file>

<file path=customXml/itemProps3.xml><?xml version="1.0" encoding="utf-8"?>
<ds:datastoreItem xmlns:ds="http://schemas.openxmlformats.org/officeDocument/2006/customXml" ds:itemID="{DEC447F6-54FC-4E8E-939D-38377498652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00_README</vt:lpstr>
      <vt:lpstr>01_Universe</vt:lpstr>
      <vt:lpstr>02_Scorecard</vt:lpstr>
      <vt:lpstr>03_Financials</vt:lpstr>
      <vt:lpstr>04_Valuation</vt:lpstr>
      <vt:lpstr>05_Special_Flags</vt:lpstr>
      <vt:lpstr>06_Deep_Research</vt:lpstr>
      <vt:lpstr>07_Sources</vt:lpstr>
      <vt:lpstr>08_Research_Log</vt:lpstr>
      <vt:lpstr>09_Ranking</vt:lpstr>
      <vt:lpstr>10_System_Metadata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Jayawat Suwannao</cp:lastModifiedBy>
  <dcterms:modified xsi:type="dcterms:W3CDTF">2026-10-08T05:37:22Z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0x010100203A0821DF6FD4469252960B17861375</vt:lpwstr>
  </property>
</Properties>
</file>