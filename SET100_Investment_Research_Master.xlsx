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cc0457b53b3e473a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8477bac37c8444b9"/>
    <x:sheet xmlns:r="http://schemas.openxmlformats.org/officeDocument/2006/relationships" name="01_Universe" sheetId="2" r:id="R4a1866ad76c043d2"/>
    <x:sheet xmlns:r="http://schemas.openxmlformats.org/officeDocument/2006/relationships" name="02_Scorecard" sheetId="3" r:id="R3a33304be0aa4428"/>
    <x:sheet xmlns:r="http://schemas.openxmlformats.org/officeDocument/2006/relationships" name="03_Financials" sheetId="4" r:id="R196c886627954e78"/>
    <x:sheet xmlns:r="http://schemas.openxmlformats.org/officeDocument/2006/relationships" name="04_Valuation" sheetId="5" r:id="R0da63a0bf09746e7"/>
    <x:sheet xmlns:r="http://schemas.openxmlformats.org/officeDocument/2006/relationships" name="05_Special_Flags" sheetId="6" r:id="R0efaf87010934d8b"/>
    <x:sheet xmlns:r="http://schemas.openxmlformats.org/officeDocument/2006/relationships" name="06_Deep_Research" sheetId="7" r:id="Rf1c813f4235340d9"/>
    <x:sheet xmlns:r="http://schemas.openxmlformats.org/officeDocument/2006/relationships" name="07_Sources" sheetId="8" r:id="Rba545dd9c9d4455b"/>
    <x:sheet xmlns:r="http://schemas.openxmlformats.org/officeDocument/2006/relationships" name="08_Research_Log" sheetId="9" r:id="Rfef4628d9e744615"/>
    <x:sheet xmlns:r="http://schemas.openxmlformats.org/officeDocument/2006/relationships" name="09_Ranking" sheetId="10" r:id="Rb24968032663406a"/>
    <x:sheet xmlns:r="http://schemas.openxmlformats.org/officeDocument/2006/relationships" name="10_System_Metadata" sheetId="11" r:id="R7629996ddea4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[Red](#,##0.00);-"/>
    <x:numFmt numFmtId="201" formatCode="0.0"/>
    <x:numFmt numFmtId="202" formatCode="0.0%;[Red](0.0%);-"/>
    <x:numFmt numFmtId="203" formatCode="0.0x;[Red](0.0x);-"/>
    <x:numFmt numFmtId="204" formatCode="0.00x;[Red](0.00x);-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1"/>
      <x:color rgb="FF0000FF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7395C"/>
      </x:patternFill>
    </x:fill>
    <x:fill>
      <x:patternFill patternType="solid">
        <x:fgColor rgb="FFF4F7FB"/>
      </x:patternFill>
    </x:fill>
    <x:fill>
      <x:patternFill patternType="solid">
        <x:fgColor rgb="FF17395C"/>
      </x:patternFill>
    </x:fill>
    <x:fill>
      <x:patternFill patternType="solid">
        <x:fgColor rgb="FF0B1F33"/>
      </x:patternFill>
    </x:fill>
    <x:fill>
      <x:patternFill patternType="solid">
        <x:fgColor rgb="FF0B1F33"/>
      </x:patternFill>
    </x:fill>
    <x:fill>
      <x:patternFill patternType="solid">
        <x:fgColor rgb="FF17395C"/>
      </x:patternFill>
    </x:fill>
    <x:fill>
      <x:patternFill patternType="solid">
        <x:fgColor rgb="FF17395C"/>
      </x:patternFill>
    </x:fill>
    <x:fill>
      <x:patternFill patternType="solid">
        <x:fgColor rgb="FFFFFCE8"/>
      </x:patternFill>
    </x:fill>
    <x:fill>
      <x:patternFill patternType="solid">
        <x:fgColor rgb="FF17395C"/>
      </x:patternFill>
    </x:fill>
    <x:fill>
      <x:patternFill patternType="solid">
        <x:fgColor rgb="FFFFFCE8"/>
      </x:patternFill>
    </x:fill>
    <x:fill>
      <x:patternFill patternType="solid">
        <x:fgColor rgb="FFFFFCE8"/>
      </x:patternFill>
    </x:fill>
    <x:fill>
      <x:patternFill patternType="solid">
        <x:fgColor rgb="FFFFFCE8"/>
      </x:patternFill>
    </x:fill>
    <x:fill>
      <x:patternFill patternType="solid">
        <x:fgColor rgb="FFFFFCE8"/>
      </x:patternFill>
    </x:fill>
    <x:fill>
      <x:patternFill patternType="solid">
        <x:fgColor rgb="FFFFFCE8"/>
      </x:patternFill>
    </x:fill>
    <x:fill>
      <x:patternFill patternType="solid">
        <x:fgColor rgb="FFFFFCE8"/>
      </x:patternFill>
    </x:fill>
    <x:fill>
      <x:patternFill patternType="solid">
        <x:fgColor rgb="FFFFFCE8"/>
      </x:patternFill>
    </x:fill>
  </x:fills>
  <x:borders count="2">
    <x:border/>
    <x:border/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4" fillId="0" borderId="0" xfId="0" applyNumberFormat="1" applyFont="1" applyFill="1" applyBorder="1"/>
    <x:xf numFmtId="201" fontId="5" fillId="0" borderId="0" xfId="0" applyNumberFormat="1" applyFont="1" applyFill="1" applyBorder="1"/>
    <x:xf numFmtId="201" fontId="0" fillId="0" borderId="0" xfId="0" applyNumberFormat="1" applyFont="1" applyFill="1" applyBorder="1"/>
    <x:xf numFmtId="201" fontId="4" fillId="0" borderId="1" xfId="0" applyNumberFormat="1" applyFont="1" applyFill="1" applyBorder="1"/>
    <x:xf numFmtId="201" fontId="5" fillId="0" borderId="1" xfId="0" applyNumberFormat="1" applyFont="1" applyFill="1" applyBorder="1"/>
    <x:xf numFmtId="201" fontId="0" fillId="0" borderId="1" xfId="0" applyNumberFormat="1" applyFont="1" applyFill="1" applyBorder="1"/>
    <x:xf numFmtId="201" fontId="4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4" fillId="0" borderId="1" xfId="0" applyNumberFormat="1" applyFont="1" applyFill="1" applyBorder="1"/>
    <x:xf numFmtId="200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0" fillId="0" borderId="0" xfId="0" applyNumberFormat="1" applyFont="1" applyFill="1" applyBorder="1"/>
    <x:xf numFmtId="202" fontId="5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5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4" fontId="4" fillId="0" borderId="0" xfId="0" applyNumberFormat="1" applyFont="1" applyFill="1" applyBorder="1"/>
    <x:xf numFmtId="204" fontId="0" fillId="0" borderId="0" xfId="0" applyNumberFormat="1" applyFont="1" applyFill="1" applyBorder="1"/>
    <x:xf numFmtId="204" fontId="4" fillId="0" borderId="1" xfId="0" applyNumberFormat="1" applyFont="1" applyFill="1" applyBorder="1"/>
    <x:xf numFmtId="204" fontId="0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4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4" fillId="0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1" fontId="6" fillId="0" borderId="0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left" vertical="center"/>
    </x:xf>
    <x:xf numFmtId="0" fontId="7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0" borderId="0" xfId="0" applyNumberFormat="1" applyFont="1" applyFill="1" applyBorder="1"/>
    <x:xf numFmtId="200" fontId="7" fillId="4" borderId="0" xfId="0" applyNumberFormat="1" applyFont="1" applyFill="1" applyBorder="1"/>
    <x:xf numFmtId="200" fontId="6" fillId="4" borderId="0" xfId="0" applyNumberFormat="1" applyFont="1" applyFill="1" applyBorder="1"/>
    <x:xf numFmtId="204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7" fillId="4" borderId="0" xfId="0" applyNumberFormat="1" applyFont="1" applyFill="1" applyBorder="1" applyAlignment="1">
      <x:alignment wrapText="1"/>
    </x:xf>
    <x:xf numFmtId="200" fontId="6" fillId="4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4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203" fontId="4" fillId="0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vertical="top" wrapText="1"/>
    </x:xf>
    <x:xf numFmtId="0" fontId="4" fillId="16" borderId="0" xfId="0" applyNumberFormat="1" applyFont="1" applyFill="1" applyBorder="1" applyAlignment="1">
      <x:alignment vertical="top" wrapText="1"/>
    </x:xf>
    <x:xf numFmtId="0" fontId="4" fillId="17" borderId="0" xfId="0" applyNumberFormat="1" applyFont="1" applyFill="1" applyBorder="1" applyAlignment="1">
      <x:alignment vertical="top" wrapText="1"/>
    </x:xf>
    <x:xf numFmtId="0" fontId="4" fillId="1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196c886627954e78" Type="http://schemas.openxmlformats.org/officeDocument/2006/relationships/worksheet" Target="/xl/worksheets/sheet4.xml"/><Relationship Id="R0da63a0bf09746e7" Type="http://schemas.openxmlformats.org/officeDocument/2006/relationships/worksheet" Target="/xl/worksheets/sheet5.xml"/><Relationship Id="Rfef4628d9e744615" Type="http://schemas.openxmlformats.org/officeDocument/2006/relationships/worksheet" Target="/xl/worksheets/sheet9.xml"/><Relationship Id="Rb24968032663406a" Type="http://schemas.openxmlformats.org/officeDocument/2006/relationships/worksheet" Target="/xl/worksheets/sheet10.xml"/><Relationship Id="rId3" Type="http://schemas.openxmlformats.org/officeDocument/2006/relationships/customXml" Target="../customXml/item3.xml"/><Relationship Id="R3a33304be0aa4428" Type="http://schemas.openxmlformats.org/officeDocument/2006/relationships/worksheet" Target="/xl/worksheets/sheet3.xml"/><Relationship Id="Ra1a388aed2b34066" Type="http://schemas.openxmlformats.org/officeDocument/2006/relationships/theme" Target="/xl/theme/theme1.xml"/><Relationship Id="Rba545dd9c9d4455b" Type="http://schemas.openxmlformats.org/officeDocument/2006/relationships/worksheet" Target="/xl/worksheets/sheet8.xml"/><Relationship Id="R7629996ddea44dee" Type="http://schemas.openxmlformats.org/officeDocument/2006/relationships/worksheet" Target="/xl/worksheets/sheet11.xml"/><Relationship Id="rId2" Type="http://schemas.openxmlformats.org/officeDocument/2006/relationships/customXml" Target="../customXml/item2.xml"/><Relationship Id="Rb56a2dcc21654ea3" Type="http://schemas.openxmlformats.org/officeDocument/2006/relationships/styles" Target="/xl/styles.xml"/><Relationship Id="R4a1866ad76c043d2" Type="http://schemas.openxmlformats.org/officeDocument/2006/relationships/worksheet" Target="/xl/worksheets/sheet2.xml"/><Relationship Id="rId1" Type="http://schemas.openxmlformats.org/officeDocument/2006/relationships/customXml" Target="../customXml/item1.xml"/><Relationship Id="R0efaf87010934d8b" Type="http://schemas.openxmlformats.org/officeDocument/2006/relationships/worksheet" Target="/xl/worksheets/sheet6.xml"/><Relationship Id="R4dd6a64d8d9341d8" Type="http://schemas.openxmlformats.org/officeDocument/2006/relationships/sharedStrings" Target="/xl/sharedStrings.xml"/><Relationship Id="R8477bac37c8444b9" Type="http://schemas.openxmlformats.org/officeDocument/2006/relationships/worksheet" Target="/xl/worksheets/sheet1.xml"/><Relationship Id="Rf1c813f4235340d9" Type="http://schemas.openxmlformats.org/officeDocument/2006/relationships/worksheet" Target="/xl/worksheets/sheet7.xml"/></Relationships>
</file>

<file path=xl/tables/table1.xml><?xml version="1.0" encoding="utf-8"?>
<x:table xmlns:x="http://schemas.openxmlformats.org/spreadsheetml/2006/main" id="1" name="UniverseTable" displayName="UniverseTable" ref="A3:M103" headerRowCount="1" totalsRowCount="0" totalsRowShown="0">
  <x:tableColumns count="13">
    <x:tableColumn id="1" name="MCap Rank"/>
    <x:tableColumn id="2" name="Ticker"/>
    <x:tableColumn id="3" name="Company"/>
    <x:tableColumn id="4" name="Sector"/>
    <x:tableColumn id="5" name="Price (THB)"/>
    <x:tableColumn id="6" name="Market Cap (THB mn)"/>
    <x:tableColumn id="7" name="Status"/>
    <x:tableColumn id="8" name="Batch"/>
    <x:tableColumn id="9" name="Research Date"/>
    <x:tableColumn id="10" name="Financial Period"/>
    <x:tableColumn id="11" name="Market Date"/>
    <x:tableColumn id="12" name="SET Source"/>
    <x:tableColumn id="13" name="IR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orecardTable" displayName="ScorecardTable" ref="A3:R103" headerRowCount="1" totalsRowCount="0" totalsRowShown="0">
  <x:tableColumns count="18">
    <x:tableColumn id="1" name="MCap Rank"/>
    <x:tableColumn id="2" name="Ticker"/>
    <x:tableColumn id="3" name="Sector"/>
    <x:tableColumn id="4" name="Valuation Class"/>
    <x:tableColumn id="5" name="Special Flags"/>
    <x:tableColumn id="6" name="Business Quality"/>
    <x:tableColumn id="7" name="Competitive Advantage"/>
    <x:tableColumn id="8" name="Management"/>
    <x:tableColumn id="9" name="Growth"/>
    <x:tableColumn id="10" name="Financial Strength"/>
    <x:tableColumn id="11" name="Valuation"/>
    <x:tableColumn id="12" name="Catalysts"/>
    <x:tableColumn id="13" name="Risk Profile"/>
    <x:tableColumn id="14" name="Overall Score"/>
    <x:tableColumn id="15" name="Research Status"/>
    <x:tableColumn id="16" name="Research Date"/>
    <x:tableColumn id="17" name="Investor Fit"/>
    <x:tableColumn id="18" name="Batc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ncialsTable" displayName="FinancialsTable" ref="A3:L103" headerRowCount="1" totalsRowCount="0" totalsRowShown="0">
  <x:tableColumns count="12">
    <x:tableColumn id="1" name="Ticker"/>
    <x:tableColumn id="2" name="Period"/>
    <x:tableColumn id="3" name="Quarter NPAT (THB mn)"/>
    <x:tableColumn id="4" name="Period NPAT (THB mn)"/>
    <x:tableColumn id="5" name="Prior Period NPAT (THB mn)"/>
    <x:tableColumn id="6" name="NPAT YoY"/>
    <x:tableColumn id="7" name="EPS / Share"/>
    <x:tableColumn id="8" name="Revenue (THB mn)"/>
    <x:tableColumn id="9" name="EBITDA (THB mn)"/>
    <x:tableColumn id="10" name="Net Debt/EBITDA"/>
    <x:tableColumn id="11" name="Source"/>
    <x:tableColumn id="12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uationTable" displayName="ValuationTable" ref="A3:M103" headerRowCount="1" totalsRowCount="0" totalsRowShown="0">
  <x:tableColumns count="13">
    <x:tableColumn id="1" name="Ticker"/>
    <x:tableColumn id="2" name="Price (THB)"/>
    <x:tableColumn id="3" name="Market Cap (THB mn)"/>
    <x:tableColumn id="4" name="P/E (x)"/>
    <x:tableColumn id="5" name="P/BV (x)"/>
    <x:tableColumn id="6" name="EV/EBITDA (x)"/>
    <x:tableColumn id="7" name="Dividend Yield"/>
    <x:tableColumn id="8" name="FCF Yield"/>
    <x:tableColumn id="9" name="Valuation Method"/>
    <x:tableColumn id="10" name="Conclusion"/>
    <x:tableColumn id="11" name="Data Date"/>
    <x:tableColumn id="12" name="SET Source"/>
    <x:tableColumn id="13" name="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ecialFlagsTable" displayName="SpecialFlagsTable" ref="A3:L103" headerRowCount="1" totalsRowCount="0" totalsRowShown="0">
  <x:tableColumns count="12">
    <x:tableColumn id="1" name="Ticker"/>
    <x:tableColumn id="2" name="Dividend Flag"/>
    <x:tableColumn id="3" name="Bond Candidate"/>
    <x:tableColumn id="4" name="Moat Flag"/>
    <x:tableColumn id="5" name="Growth Flag"/>
    <x:tableColumn id="6" name="Value Flag"/>
    <x:tableColumn id="7" name="Low Debt Flag"/>
    <x:tableColumn id="8" name="Risk Flag"/>
    <x:tableColumn id="9" name="Overall Score"/>
    <x:tableColumn id="10" name="Valuation"/>
    <x:tableColumn id="11" name="Key Takeaway"/>
    <x:tableColumn id="12" name="Monitori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3:H18" headerRowCount="1" totalsRowCount="0" totalsRowShown="0">
  <x:tableColumns count="8">
    <x:tableColumn id="1" name="Ticker"/>
    <x:tableColumn id="2" name="Source Type"/>
    <x:tableColumn id="3" name="Source Name"/>
    <x:tableColumn id="4" name="URL"/>
    <x:tableColumn id="5" name="Covered Data"/>
    <x:tableColumn id="6" name="Source Period / Date"/>
    <x:tableColumn id="7" name="Accessed"/>
    <x:tableColumn id="8" name="Prior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earchLogTable" displayName="ResearchLogTable" ref="A3:J23" headerRowCount="1" totalsRowCount="0" totalsRowShown="0">
  <x:tableColumns count="10">
    <x:tableColumn id="1" name="Batch"/>
    <x:tableColumn id="2" name="MCap Rank Range"/>
    <x:tableColumn id="3" name="Tickers"/>
    <x:tableColumn id="4" name="Status"/>
    <x:tableColumn id="5" name="Research Date"/>
    <x:tableColumn id="6" name="Market Date"/>
    <x:tableColumn id="7" name="Financial Cut"/>
    <x:tableColumn id="8" name="QA Status"/>
    <x:tableColumn id="9" name="Next Action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1d02a34d7540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9ed987af294a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ed62001f684f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182560d64b4e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7cef8f1f7f4c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6c7d1b4d7e54d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43900d563ab4edd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0" hidden="0" customWidth="1"/>
    <x:col min="4" max="4" width="22" hidden="0" customWidth="1"/>
    <x:col min="5" max="5" width="30" hidden="0" customWidth="1"/>
    <x:col min="6" max="6" width="42" hidden="0" customWidth="1"/>
    <x:col min="7" max="7" width="34" hidden="0" customWidth="1"/>
    <x:col min="8" max="8" width="28" hidden="0" customWidth="1"/>
  </x:cols>
  <x:sheetData>
    <x:row r="1" ht="30" customHeight="1">
      <x:c r="A1" s="5" t="str">
        <x:v>SET100 Investment Research — Master Database v1</x:v>
      </x:c>
    </x:row>
    <x:row r="3" ht="30" customHeight="1">
      <x:c r="A3" s="14" t="str">
        <x:v>หัวข้อ</x:v>
      </x:c>
      <x:c r="B3" s="14" t="str">
        <x:v>รายละเอียด</x:v>
      </x:c>
      <x:c r="D3" s="14" t="str">
        <x:v>Data Discipline</x:v>
      </x:c>
      <x:c r="E3" s="14" t="str">
        <x:v>ประเภท</x:v>
      </x:c>
      <x:c r="F3" s="14" t="str">
        <x:v>ตัวอย่าง</x:v>
      </x:c>
      <x:c r="G3" s="14" t="str">
        <x:v>Rule</x:v>
      </x:c>
      <x:c r="H3" s="14" t="str">
        <x:v>สี</x:v>
      </x:c>
    </x:row>
    <x:row r="4">
      <x:c r="A4" s="22" t="str">
        <x:v>Universe</x:v>
      </x:c>
      <x:c r="B4" s="23" t="str">
        <x:v>SET100 รอบครึ่งหลังปี 2569; Research order = Market Cap 100%</x:v>
      </x:c>
      <x:c r="D4" s="23" t="str">
        <x:v>Fact</x:v>
      </x:c>
      <x:c r="E4" s="23" t="str">
        <x:v>Primary-source data</x:v>
      </x:c>
      <x:c r="F4" s="23" t="str">
        <x:v>Market Cap / NPAT / P/E</x:v>
      </x:c>
      <x:c r="G4" s="23" t="str">
        <x:v>เก็บวันที่ข้อมูล</x:v>
      </x:c>
      <x:c r="H4" s="23" t="str">
        <x:v>Blue hardcode</x:v>
      </x:c>
    </x:row>
    <x:row r="5">
      <x:c r="A5" s="22" t="str">
        <x:v>Research progress</x:v>
      </x:c>
      <x:c r="B5" s="23" t="str">
        <x:v>5 / 100 บริษัท</x:v>
      </x:c>
      <x:c r="D5" s="23" t="str">
        <x:v>Calculation</x:v>
      </x:c>
      <x:c r="E5" s="23" t="str">
        <x:v>Workbook formula</x:v>
      </x:c>
      <x:c r="F5" s="23" t="str">
        <x:v>NPAT Growth / Overall Score</x:v>
      </x:c>
      <x:c r="G5" s="23" t="str">
        <x:v>ต้องเป็นสูตร</x:v>
      </x:c>
      <x:c r="H5" s="23" t="str">
        <x:v>Black</x:v>
      </x:c>
    </x:row>
    <x:row r="6">
      <x:c r="A6" s="22" t="str">
        <x:v>Completed Batch</x:v>
      </x:c>
      <x:c r="B6" s="23" t="str">
        <x:v>Batch 1: DELTA, PTT, ADVANC, GULF, AOT</x:v>
      </x:c>
      <x:c r="D6" s="23" t="str">
        <x:v>Assumption</x:v>
      </x:c>
      <x:c r="E6" s="23" t="str">
        <x:v>Scenario / forward view</x:v>
      </x:c>
      <x:c r="F6" s="23" t="str">
        <x:v>Bull/Base/Bear</x:v>
      </x:c>
      <x:c r="G6" s="23" t="str">
        <x:v>ต้องระบุชัด</x:v>
      </x:c>
      <x:c r="H6" s="23" t="str">
        <x:v>Yellow attention</x:v>
      </x:c>
    </x:row>
    <x:row r="7">
      <x:c r="A7" s="22" t="str">
        <x:v>Market Data Date</x:v>
      </x:c>
      <x:c r="B7" s="23" t="str">
        <x:v>2026-10-07</x:v>
      </x:c>
      <x:c r="D7" s="23" t="str">
        <x:v>Interpretation</x:v>
      </x:c>
      <x:c r="E7" s="23" t="str">
        <x:v>Investment judgment</x:v>
      </x:c>
      <x:c r="F7" s="23" t="str">
        <x:v>Moat / Valuation conclusion</x:v>
      </x:c>
      <x:c r="G7" s="23" t="str">
        <x:v>ไม่เขียนเป็น Fact</x:v>
      </x:c>
      <x:c r="H7" s="23" t="str">
        <x:v>Narrative field</x:v>
      </x:c>
    </x:row>
    <x:row r="8">
      <x:c r="A8" s="22" t="str">
        <x:v>Research Date</x:v>
      </x:c>
      <x:c r="B8" s="23" t="str">
        <x:v>2026-10-08</x:v>
      </x:c>
    </x:row>
    <x:row r="9">
      <x:c r="A9" s="22" t="str">
        <x:v>Primary Sources</x:v>
      </x:c>
      <x:c r="B9" s="23" t="str">
        <x:v>SET / SETTRADE / Investor Relations / Company Website</x:v>
      </x:c>
    </x:row>
    <x:row r="10">
      <x:c r="A10" s="22" t="str">
        <x:v>Scoring</x:v>
      </x:c>
      <x:c r="B10" s="23" t="str">
        <x:v>8 dimensions, 0–10; Overall Score = simple average</x:v>
      </x:c>
      <x:c r="D10" s="114" t="str">
        <x:v>Dashboard v3</x:v>
      </x:c>
      <x:c r="E10" s="114" t="str">
        <x:v>File</x:v>
      </x:c>
      <x:c r="F10" s="114" t="str">
        <x:v>Role</x:v>
      </x:c>
      <x:c r="G10" s="114" t="str">
        <x:v>How to update</x:v>
      </x:c>
      <x:c r="H10" s="114" t="str">
        <x:v>Notes</x:v>
      </x:c>
    </x:row>
    <x:row r="11">
      <x:c r="A11" s="22" t="str">
        <x:v>Risk convention</x:v>
      </x:c>
      <x:c r="B11" s="23" t="str">
        <x:v>คะแนน Risk Profile สูง = resilience / risk quality ดีกว่า</x:v>
      </x:c>
      <x:c r="D11" s="23" t="str">
        <x:v>Static UI</x:v>
      </x:c>
      <x:c r="E11" s="23" t="str">
        <x:v>index.html</x:v>
      </x:c>
      <x:c r="F11" s="23" t="str">
        <x:v>Dashboard shell</x:v>
      </x:c>
      <x:c r="G11" s="23" t="str">
        <x:v>Normally no edit</x:v>
      </x:c>
      <x:c r="H11" s="23" t="str">
        <x:v>Fetches data.json</x:v>
      </x:c>
    </x:row>
    <x:row r="12">
      <x:c r="A12" s="22" t="str">
        <x:v>Excel role</x:v>
      </x:c>
      <x:c r="B12" s="23" t="str">
        <x:v>Source of Truth: data, formulas, scores, sources, research log</x:v>
      </x:c>
      <x:c r="D12" s="23" t="str">
        <x:v>Data layer</x:v>
      </x:c>
      <x:c r="E12" s="23" t="str">
        <x:v>data.json</x:v>
      </x:c>
      <x:c r="F12" s="23" t="str">
        <x:v>Website data</x:v>
      </x:c>
      <x:c r="G12" s="23" t="str">
        <x:v>Replace on GitHub</x:v>
      </x:c>
      <x:c r="H12" s="23" t="str">
        <x:v>Refresh button reloads this file</x:v>
      </x:c>
    </x:row>
    <x:row r="13">
      <x:c r="A13" s="22" t="str">
        <x:v>HTML role</x:v>
      </x:c>
      <x:c r="B13" s="23" t="str">
        <x:v>Dashboard สำหรับ GitHub Pages; regenerate เมื่อ Master Excel เปลี่ยน</x:v>
      </x:c>
      <x:c r="D13" s="23" t="str">
        <x:v>Master DB</x:v>
      </x:c>
      <x:c r="E13" s="23" t="str">
        <x:v>SET100_Investment_Research_Master_v3.xlsx</x:v>
      </x:c>
      <x:c r="F13" s="23" t="str">
        <x:v>Source of Truth</x:v>
      </x:c>
      <x:c r="G13" s="23" t="str">
        <x:v>Update after each research batch</x:v>
      </x:c>
      <x:c r="H13" s="23" t="str">
        <x:v>Keep research + sources here</x:v>
      </x:c>
    </x:row>
    <x:row r="14">
      <x:c r="D14" s="23" t="str">
        <x:v>Updater</x:v>
      </x:c>
      <x:c r="E14" s="23" t="str">
        <x:v>update_data.py</x:v>
      </x:c>
      <x:c r="F14" s="23" t="str">
        <x:v>Generate data.json from workbook</x:v>
      </x:c>
      <x:c r="G14" s="23" t="str">
        <x:v>Run after Excel update</x:v>
      </x:c>
      <x:c r="H14" s="23" t="str">
        <x:v>Optional helper</x:v>
      </x:c>
    </x:row>
    <x:row r="15">
      <x:c r="A15" s="22" t="str">
        <x:v>กติกาการเปรียบเทียบ</x:v>
      </x:c>
      <x:c r="B15" s="23" t="str">
        <x:v>ไม่เปรียบเทียบหุ้นกันเองทั้งภายใน Batch หรือข้าม Batch</x:v>
      </x:c>
      <x:c r="D15" s="23" t="str">
        <x:v>Status</x:v>
      </x:c>
      <x:c r="E15" s="23" t="str">
        <x:v>Current / New Results / Needs Update</x:v>
      </x:c>
      <x:c r="F15" s="23" t="str">
        <x:v>Research freshness</x:v>
      </x:c>
      <x:c r="G15" s="23" t="str">
        <x:v>Maintain per company</x:v>
      </x:c>
      <x:c r="H15" s="23" t="str">
        <x:v>Shown on dashboard</x:v>
      </x:c>
    </x:row>
    <x:row r="16">
      <x:c r="A16" s="22" t="str">
        <x:v>Industry Benchmark</x:v>
      </x:c>
      <x:c r="B16" s="23" t="str">
        <x:v>หากต้องเปรียบเทียบ ให้เทียบกับอุตสาหกรรม/Peer Group ของหุ้นนั้นเท่านั้น</x:v>
      </x:c>
    </x:row>
    <x:row r="17">
      <x:c r="A17" s="22" t="str">
        <x:v>Moat</x:v>
      </x:c>
      <x:c r="B17" s="23" t="str">
        <x:v>ต้องระบุชัดทุกบริษัทว่า มี / ไม่มี พร้อมเหตุผล</x:v>
      </x:c>
      <x:c r="D17" s="122" t="str">
        <x:v>v6 Workflow</x:v>
      </x:c>
      <x:c r="E17" s="122" t="str">
        <x:v>Source of Truth</x:v>
      </x:c>
      <x:c r="F17" s="122" t="str">
        <x:v>User Action</x:v>
      </x:c>
      <x:c r="G17" s="122" t="str">
        <x:v>GitHub Action</x:v>
      </x:c>
      <x:c r="H17" s="122" t="str">
        <x:v>Dashboard</x:v>
      </x:c>
    </x:row>
    <x:row r="18">
      <x:c r="A18" s="22" t="str">
        <x:v>Debt / EBITDA</x:v>
      </x:c>
      <x:c r="B18" s="23" t="str">
        <x:v>แสดง Total Interest-Bearing Debt / EBITDA ใน Summary; หาก Financial Sector ใช้ N/A และเปลี่ยนเป็น metric ที่เหมาะสม</x:v>
      </x:c>
      <x:c r="D18" s="23" t="str">
        <x:v>Team Comment</x:v>
      </x:c>
      <x:c r="E18" s="23" t="str">
        <x:v>06_Deep_Research &gt; Team Comment</x:v>
      </x:c>
      <x:c r="F18" s="23" t="str">
        <x:v>แก้ Excel แล้ว Upload Excel</x:v>
      </x:c>
      <x:c r="G18" s="23" t="str">
        <x:v>สร้าง data.json อัตโนมัติ</x:v>
      </x:c>
      <x:c r="H18" s="23" t="str">
        <x:v>Comment แสดงใต้ Bear Thesis</x:v>
      </x:c>
    </x:row>
    <x:row r="19">
      <x:c r="A19" s="22" t="str">
        <x:v>Ranking</x:v>
      </x:c>
      <x:c r="B19" s="23" t="str">
        <x:v>ยกเลิกการจัดอันดับหุ้นเทียบกันเอง; คงคะแนนรายบริษัทเพื่อประเมินแบบ Absolute</x:v>
      </x:c>
      <x:c r="D19" s="23" t="str">
        <x:v>Master Filename</x:v>
      </x:c>
      <x:c r="E19" s="23" t="str">
        <x:v>SET100_Investment_Research_Master.xlsx</x:v>
      </x:c>
      <x:c r="F19" s="23" t="str">
        <x:v>Upload ทับชื่อเดิม</x:v>
      </x:c>
      <x:c r="G19" s="23" t="str">
        <x:v>Workflow ตรวจจับไฟล์นี้</x:v>
      </x:c>
      <x:c r="H19" s="23" t="str">
        <x:v>ไม่ต้อง Upload data.json เอง</x:v>
      </x:c>
    </x:row>
    <x:row r="20">
      <x:c r="A20" s="22" t="str">
        <x:v>Financial Sector Exception</x:v>
      </x:c>
      <x:c r="B20" s="23" t="str">
        <x:v>Bank/Finance/Insurance ไม่ใช้ Debt/EBITDA เพราะหนี้เป็นส่วนหนึ่งของ Operating Model; ใช้ CAR/CET1, NPL, Coverage, LDR ฯลฯ</x:v>
      </x:c>
      <x:c r="D20" s="23" t="str">
        <x:v>Comment Sharing</x:v>
      </x:c>
      <x:c r="E20" s="23" t="str">
        <x:v>Excel / data.json</x:v>
      </x:c>
      <x:c r="F20" s="23" t="str">
        <x:v>ทีมเห็นข้อความเดียวกัน</x:v>
      </x:c>
      <x:c r="G20" s="23" t="str">
        <x:v>Public site = คนเข้าเว็บเห็นได้</x:v>
      </x:c>
      <x:c r="H20" s="23" t="str">
        <x:v>ไม่มี localStorage</x:v>
      </x:c>
    </x:row>
    <x:row r="22">
      <x:c r="D22" s="129" t="str">
        <x:v>v6.1 Safety</x:v>
      </x:c>
      <x:c r="E22" s="129" t="str">
        <x:v>Rule</x:v>
      </x:c>
      <x:c r="F22" s="129" t="str">
        <x:v>What happens</x:v>
      </x:c>
      <x:c r="G22" s="129" t="str">
        <x:v>User action</x:v>
      </x:c>
      <x:c r="H22" s="129" t="str">
        <x:v>Result</x:v>
      </x:c>
    </x:row>
    <x:row r="23">
      <x:c r="D23" s="23" t="str">
        <x:v>Preserve comment</x:v>
      </x:c>
      <x:c r="E23" s="23" t="str">
        <x:v>New Excel comment blank</x:v>
      </x:c>
      <x:c r="F23" s="23" t="str">
        <x:v>Restore latest comment from backup</x:v>
      </x:c>
      <x:c r="G23" s="23" t="str">
        <x:v>Upload Excel normally</x:v>
      </x:c>
      <x:c r="H23" s="23" t="str">
        <x:v>Comment remains</x:v>
      </x:c>
    </x:row>
    <x:row r="24">
      <x:c r="D24" s="23" t="str">
        <x:v>Update comment</x:v>
      </x:c>
      <x:c r="E24" s="23" t="str">
        <x:v>New Excel comment nonblank</x:v>
      </x:c>
      <x:c r="F24" s="23" t="str">
        <x:v>Use new Excel text</x:v>
      </x:c>
      <x:c r="G24" s="23" t="str">
        <x:v>Type new comment</x:v>
      </x:c>
      <x:c r="H24" s="23" t="str">
        <x:v>Comment changes</x:v>
      </x:c>
    </x:row>
    <x:row r="25">
      <x:c r="D25" s="23" t="str">
        <x:v>Delete comment</x:v>
      </x:c>
      <x:c r="E25" s="23" t="str">
        <x:v>Team Comment = [[CLEAR]]</x:v>
      </x:c>
      <x:c r="F25" s="23" t="str">
        <x:v>Delete comment + backup</x:v>
      </x:c>
      <x:c r="G25" s="23" t="str">
        <x:v>Type [[CLEAR]] then upload</x:v>
      </x:c>
      <x:c r="H25" s="23" t="str">
        <x:v>Comment removed</x:v>
      </x:c>
    </x:row>
    <x:row r="26">
      <x:c r="D26" s="23" t="str">
        <x:v>SET chart</x:v>
      </x:c>
      <x:c r="E26" s="23" t="str">
        <x:v>5-year monthly history</x:v>
      </x:c>
      <x:c r="F26" s="23" t="str">
        <x:v>Date filter + presets</x:v>
      </x:c>
      <x:c r="G26" s="23" t="str">
        <x:v>Choose dates / buttons</x:v>
      </x:c>
      <x:c r="H26" s="23" t="str">
        <x:v>Chart rerenders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34" hidden="0" customWidth="1"/>
    <x:col min="4" max="4" width="27" hidden="0" customWidth="1"/>
    <x:col min="5" max="5" width="13" hidden="0" customWidth="1"/>
    <x:col min="6" max="6" width="18" hidden="0" customWidth="1"/>
    <x:col min="7" max="7" width="15" hidden="0" customWidth="1"/>
    <x:col min="8" max="8" width="9" hidden="0" customWidth="1"/>
    <x:col min="9" max="9" width="14" hidden="0" customWidth="1"/>
    <x:col min="10" max="10" width="22" hidden="0" customWidth="1"/>
    <x:col min="11" max="11" width="14" hidden="0" customWidth="1"/>
    <x:col min="12" max="12" width="55" hidden="0" customWidth="1"/>
    <x:col min="13" max="13" width="55" hidden="0" customWidth="1"/>
    <x:col min="14" max="14" width="22" hidden="0" customWidth="1"/>
    <x:col min="15" max="15" width="18" hidden="0" customWidth="1"/>
    <x:col min="16" max="16" width="24" hidden="0" customWidth="1"/>
    <x:col min="17" max="17" width="18" hidden="0" customWidth="1"/>
  </x:cols>
  <x:sheetData>
    <x:row r="1" ht="30" customHeight="1">
      <x:c r="A1" s="5" t="str">
        <x:v>SET100 Universe &amp; Market Cap Research Order</x:v>
      </x:c>
    </x:row>
    <x:row r="3" ht="30" customHeight="1">
      <x:c r="A3" s="14" t="str">
        <x:v>MCap Rank</x:v>
      </x:c>
      <x:c r="B3" s="14" t="str">
        <x:v>Ticker</x:v>
      </x:c>
      <x:c r="C3" s="14" t="str">
        <x:v>Company</x:v>
      </x:c>
      <x:c r="D3" s="14" t="str">
        <x:v>Sector</x:v>
      </x:c>
      <x:c r="E3" s="14" t="str">
        <x:v>Price (THB)</x:v>
      </x:c>
      <x:c r="F3" s="14" t="str">
        <x:v>Market Cap (THB mn)</x:v>
      </x:c>
      <x:c r="G3" s="14" t="str">
        <x:v>Status</x:v>
      </x:c>
      <x:c r="H3" s="14" t="str">
        <x:v>Batch</x:v>
      </x:c>
      <x:c r="I3" s="14" t="str">
        <x:v>Research Date</x:v>
      </x:c>
      <x:c r="J3" s="14" t="str">
        <x:v>Financial Period</x:v>
      </x:c>
      <x:c r="K3" s="14" t="str">
        <x:v>Market Date</x:v>
      </x:c>
      <x:c r="L3" s="14" t="str">
        <x:v>SET Source</x:v>
      </x:c>
      <x:c r="M3" s="14" t="str">
        <x:v>IR Source</x:v>
      </x:c>
      <x:c r="N3" s="116" t="str">
        <x:v>Update Status</x:v>
      </x:c>
      <x:c r="O3" s="116" t="str">
        <x:v>Market Data Updated</x:v>
      </x:c>
      <x:c r="P3" s="116" t="str">
        <x:v>Financial Data Updated</x:v>
      </x:c>
      <x:c r="Q3" s="116" t="str">
        <x:v>Research Reviewed</x:v>
      </x:c>
    </x:row>
    <x:row r="4">
      <x:c r="A4" s="26" t="n">
        <x:v>1</x:v>
      </x:c>
      <x:c r="B4" s="26" t="str">
        <x:v>DELTA</x:v>
      </x:c>
      <x:c r="C4" s="26" t="str">
        <x:v>Delta Electronics (Thailand) PCL.</x:v>
      </x:c>
      <x:c r="D4" s="26" t="str">
        <x:v>Electronic Components</x:v>
      </x:c>
      <x:c r="E4" s="28" t="n">
        <x:v>268</x:v>
      </x:c>
      <x:c r="F4" s="28" t="n">
        <x:v>3342982.73</x:v>
      </x:c>
      <x:c r="G4" s="26" t="str">
        <x:v>Completed</x:v>
      </x:c>
      <x:c r="H4" s="26" t="n">
        <x:v>1</x:v>
      </x:c>
      <x:c r="I4" s="26" t="str">
        <x:v>2026-10-08</x:v>
      </x:c>
      <x:c r="J4" s="26" t="str">
        <x:v>1H2026 / Q2 2026</x:v>
      </x:c>
      <x:c r="K4" s="26" t="str">
        <x:v>2026-10-07</x:v>
      </x:c>
      <x:c r="L4" s="26" t="str">
        <x:v>https://www.set.or.th/en/market/product/stock/quote/DELTA/factsheet</x:v>
      </x:c>
      <x:c r="M4" s="26" t="str">
        <x:v>https://www.deltathailand.com/en/financial-highlights</x:v>
      </x:c>
      <x:c r="N4" s="26" t="str">
        <x:v>Current</x:v>
      </x:c>
      <x:c r="O4" s="26" t="str">
        <x:v>2026-10-07</x:v>
      </x:c>
      <x:c r="P4" s="26" t="str">
        <x:v>1H2026 / Q2 2026</x:v>
      </x:c>
      <x:c r="Q4" s="26" t="str">
        <x:v>2026-10-08</x:v>
      </x:c>
    </x:row>
    <x:row r="5">
      <x:c r="A5" s="26" t="n">
        <x:v>2</x:v>
      </x:c>
      <x:c r="B5" s="26" t="str">
        <x:v>PTT</x:v>
      </x:c>
      <x:c r="C5" s="26" t="str">
        <x:v>PTT Public Company Limited</x:v>
      </x:c>
      <x:c r="D5" s="26" t="str">
        <x:v>Energy &amp; Utilities</x:v>
      </x:c>
      <x:c r="E5" s="28" t="n">
        <x:v>40.5</x:v>
      </x:c>
      <x:c r="F5" s="28" t="n">
        <x:v>1156801.35</x:v>
      </x:c>
      <x:c r="G5" s="26" t="str">
        <x:v>Completed</x:v>
      </x:c>
      <x:c r="H5" s="26" t="n">
        <x:v>1</x:v>
      </x:c>
      <x:c r="I5" s="26" t="str">
        <x:v>2026-10-08</x:v>
      </x:c>
      <x:c r="J5" s="26" t="str">
        <x:v>1H2026 / Q2 2026</x:v>
      </x:c>
      <x:c r="K5" s="26" t="str">
        <x:v>2026-10-07</x:v>
      </x:c>
      <x:c r="L5" s="26" t="str">
        <x:v>https://www.set.or.th/en/market/product/stock/quote/PTT/factsheet</x:v>
      </x:c>
      <x:c r="M5" s="26" t="str">
        <x:v>https://investor.pttplc.com/en/downloads/financial-statements-mda</x:v>
      </x:c>
      <x:c r="N5" s="26" t="str">
        <x:v>Current</x:v>
      </x:c>
      <x:c r="O5" s="26" t="str">
        <x:v>2026-10-07</x:v>
      </x:c>
      <x:c r="P5" s="26" t="str">
        <x:v>1H2026 / Q2 2026</x:v>
      </x:c>
      <x:c r="Q5" s="26" t="str">
        <x:v>2026-10-08</x:v>
      </x:c>
    </x:row>
    <x:row r="6">
      <x:c r="A6" s="26" t="n">
        <x:v>3</x:v>
      </x:c>
      <x:c r="B6" s="26" t="str">
        <x:v>ADVANC</x:v>
      </x:c>
      <x:c r="C6" s="26" t="str">
        <x:v>Advanced Info Service PCL.</x:v>
      </x:c>
      <x:c r="D6" s="26" t="str">
        <x:v>Information &amp; Communication Technology</x:v>
      </x:c>
      <x:c r="E6" s="28" t="n">
        <x:v>339</x:v>
      </x:c>
      <x:c r="F6" s="28" t="n">
        <x:v>1008257.19</x:v>
      </x:c>
      <x:c r="G6" s="26" t="str">
        <x:v>Completed</x:v>
      </x:c>
      <x:c r="H6" s="26" t="n">
        <x:v>1</x:v>
      </x:c>
      <x:c r="I6" s="26" t="str">
        <x:v>2026-10-08</x:v>
      </x:c>
      <x:c r="J6" s="26" t="str">
        <x:v>1H2026 / Q2 2026</x:v>
      </x:c>
      <x:c r="K6" s="26" t="str">
        <x:v>2026-10-07</x:v>
      </x:c>
      <x:c r="L6" s="26" t="str">
        <x:v>https://www.set.or.th/en/market/product/stock/quote/ADVANC/factsheet</x:v>
      </x:c>
      <x:c r="M6" s="26" t="str">
        <x:v>https://investor.ais.co.th/en/document/quarterly-results</x:v>
      </x:c>
      <x:c r="N6" s="26" t="str">
        <x:v>Current</x:v>
      </x:c>
      <x:c r="O6" s="26" t="str">
        <x:v>2026-10-07</x:v>
      </x:c>
      <x:c r="P6" s="26" t="str">
        <x:v>1H2026 / Q2 2026</x:v>
      </x:c>
      <x:c r="Q6" s="26" t="str">
        <x:v>2026-10-08</x:v>
      </x:c>
    </x:row>
    <x:row r="7">
      <x:c r="A7" s="26" t="n">
        <x:v>4</x:v>
      </x:c>
      <x:c r="B7" s="26" t="str">
        <x:v>GULF</x:v>
      </x:c>
      <x:c r="C7" s="26" t="str">
        <x:v>Gulf Development PCL.</x:v>
      </x:c>
      <x:c r="D7" s="26" t="str">
        <x:v>Energy &amp; Utilities</x:v>
      </x:c>
      <x:c r="E7" s="28" t="n">
        <x:v>59.75</x:v>
      </x:c>
      <x:c r="F7" s="28" t="n">
        <x:v>892655.3</x:v>
      </x:c>
      <x:c r="G7" s="26" t="str">
        <x:v>Completed</x:v>
      </x:c>
      <x:c r="H7" s="26" t="n">
        <x:v>1</x:v>
      </x:c>
      <x:c r="I7" s="26" t="str">
        <x:v>2026-10-08</x:v>
      </x:c>
      <x:c r="J7" s="26" t="str">
        <x:v>1H2026 / Q2 2026</x:v>
      </x:c>
      <x:c r="K7" s="26" t="str">
        <x:v>2026-10-07</x:v>
      </x:c>
      <x:c r="L7" s="26" t="str">
        <x:v>https://www.set.or.th/en/market/product/stock/quote/GULF/factsheet</x:v>
      </x:c>
      <x:c r="M7" s="26" t="str">
        <x:v>https://www.gulf.co.th/en/investor-relations</x:v>
      </x:c>
      <x:c r="N7" s="26" t="str">
        <x:v>Current</x:v>
      </x:c>
      <x:c r="O7" s="26" t="str">
        <x:v>2026-10-07</x:v>
      </x:c>
      <x:c r="P7" s="26" t="str">
        <x:v>1H2026 / Q2 2026</x:v>
      </x:c>
      <x:c r="Q7" s="26" t="str">
        <x:v>2026-10-08</x:v>
      </x:c>
    </x:row>
    <x:row r="8">
      <x:c r="A8" s="26" t="n">
        <x:v>5</x:v>
      </x:c>
      <x:c r="B8" s="26" t="str">
        <x:v>AOT</x:v>
      </x:c>
      <x:c r="C8" s="26" t="str">
        <x:v>Airports of Thailand PCL.</x:v>
      </x:c>
      <x:c r="D8" s="26" t="str">
        <x:v>Transportation &amp; Logistics</x:v>
      </x:c>
      <x:c r="E8" s="28" t="n">
        <x:v>59.75</x:v>
      </x:c>
      <x:c r="F8" s="28" t="n">
        <x:v>853570.58</x:v>
      </x:c>
      <x:c r="G8" s="26" t="str">
        <x:v>Completed</x:v>
      </x:c>
      <x:c r="H8" s="26" t="n">
        <x:v>1</x:v>
      </x:c>
      <x:c r="I8" s="26" t="str">
        <x:v>2026-10-08</x:v>
      </x:c>
      <x:c r="J8" s="26" t="str">
        <x:v>9M FY2026 / Q3 FY2026</x:v>
      </x:c>
      <x:c r="K8" s="26" t="str">
        <x:v>2026-10-07</x:v>
      </x:c>
      <x:c r="L8" s="26" t="str">
        <x:v>https://www.set.or.th/en/market/product/stock/quote/AOT/factsheet</x:v>
      </x:c>
      <x:c r="M8" s="26" t="str">
        <x:v>https://investor.airportthai.co.th/</x:v>
      </x:c>
      <x:c r="N8" s="26" t="str">
        <x:v>Current</x:v>
      </x:c>
      <x:c r="O8" s="26" t="str">
        <x:v>2026-10-07</x:v>
      </x:c>
      <x:c r="P8" s="26" t="str">
        <x:v>9M FY2026 / Q3 FY2026</x:v>
      </x:c>
      <x:c r="Q8" s="26" t="str">
        <x:v>2026-10-08</x:v>
      </x:c>
    </x:row>
    <x:row r="9">
      <x:c r="A9" s="26" t="n">
        <x:v>6</x:v>
      </x:c>
      <x:c r="B9" s="26" t="str">
        <x:v>KTB</x:v>
      </x:c>
      <x:c r="C9" s="26" t="str">
        <x:v>Krung Thai Bank PCL.</x:v>
      </x:c>
      <x:c r="D9" s="26" t="str">
        <x:v>Banking</x:v>
      </x:c>
      <x:c r="E9" s="28" t="n">
        <x:v>42</x:v>
      </x:c>
      <x:c r="F9" s="28" t="n">
        <x:v>586994.57</x:v>
      </x:c>
      <x:c r="G9" s="26" t="str">
        <x:v>Completed</x:v>
      </x:c>
      <x:c r="H9" s="26" t="n">
        <x:v>2</x:v>
      </x:c>
      <x:c r="I9" s="26" t="str">
        <x:v>2026-10-08</x:v>
      </x:c>
      <x:c r="J9" s="26" t="str">
        <x:v>1H2026 / Q2 2026</x:v>
      </x:c>
      <x:c r="K9" s="26" t="str">
        <x:v>2026-10-07</x:v>
      </x:c>
      <x:c r="L9" s="26" t="str">
        <x:v>https://www.set.or.th/en/market/product/stock/quote/KTB/factsheet</x:v>
      </x:c>
      <x:c r="M9" s="26" t="str">
        <x:v>https://krungthai.com/en/investor-relations</x:v>
      </x:c>
      <x:c r="N9" s="26" t="str">
        <x:v>Current</x:v>
      </x:c>
      <x:c r="O9" s="26" t="str">
        <x:v>2026-10-07</x:v>
      </x:c>
      <x:c r="P9" s="26" t="str">
        <x:v>1H2026 / Q2 2026</x:v>
      </x:c>
      <x:c r="Q9" s="26" t="str">
        <x:v>2026-10-08</x:v>
      </x:c>
    </x:row>
    <x:row r="10">
      <x:c r="A10" s="26" t="n">
        <x:v>7</x:v>
      </x:c>
      <x:c r="B10" s="26" t="str">
        <x:v>PTTEP</x:v>
      </x:c>
      <x:c r="C10" s="26" t="str">
        <x:v>PTT Exploration and Production PCL.</x:v>
      </x:c>
      <x:c r="D10" s="26" t="str">
        <x:v>Energy &amp; Utilities</x:v>
      </x:c>
      <x:c r="E10" s="28" t="n">
        <x:v>147</x:v>
      </x:c>
      <x:c r="F10" s="28" t="n">
        <x:v>583587.85</x:v>
      </x:c>
      <x:c r="G10" s="26" t="str">
        <x:v>Completed</x:v>
      </x:c>
      <x:c r="H10" s="26" t="n">
        <x:v>2</x:v>
      </x:c>
      <x:c r="I10" s="26" t="str">
        <x:v>2026-10-08</x:v>
      </x:c>
      <x:c r="J10" s="26" t="str">
        <x:v>1H2026 / Q2 2026</x:v>
      </x:c>
      <x:c r="K10" s="26" t="str">
        <x:v>2026-10-07</x:v>
      </x:c>
      <x:c r="L10" s="26" t="str">
        <x:v>https://www.set.or.th/en/market/product/stock/quote/PTTEP/factsheet</x:v>
      </x:c>
      <x:c r="M10" s="26" t="str">
        <x:v>https://www.pttep.com/en/investor-relations</x:v>
      </x:c>
      <x:c r="N10" s="26" t="str">
        <x:v>Current</x:v>
      </x:c>
      <x:c r="O10" s="26" t="str">
        <x:v>2026-10-07</x:v>
      </x:c>
      <x:c r="P10" s="26" t="str">
        <x:v>1H2026 / Q2 2026</x:v>
      </x:c>
      <x:c r="Q10" s="26" t="str">
        <x:v>2026-10-08</x:v>
      </x:c>
    </x:row>
    <x:row r="11">
      <x:c r="A11" s="26" t="n">
        <x:v>8</x:v>
      </x:c>
      <x:c r="B11" s="26" t="str">
        <x:v>KBANK</x:v>
      </x:c>
      <x:c r="C11" s="26" t="str">
        <x:v>Kasikornbank PCL.</x:v>
      </x:c>
      <x:c r="D11" s="26" t="str">
        <x:v>Banking</x:v>
      </x:c>
      <x:c r="E11" s="28" t="n">
        <x:v>235</x:v>
      </x:c>
      <x:c r="F11" s="28" t="n">
        <x:v>556791.98</x:v>
      </x:c>
      <x:c r="G11" s="26" t="str">
        <x:v>Completed</x:v>
      </x:c>
      <x:c r="H11" s="26" t="n">
        <x:v>2</x:v>
      </x:c>
      <x:c r="I11" s="26" t="str">
        <x:v>2026-10-08</x:v>
      </x:c>
      <x:c r="J11" s="26" t="str">
        <x:v>1H2026 / Q2 2026</x:v>
      </x:c>
      <x:c r="K11" s="26" t="str">
        <x:v>2026-10-07</x:v>
      </x:c>
      <x:c r="L11" s="26" t="str">
        <x:v>https://www.set.or.th/en/market/product/stock/quote/KBANK/factsheet</x:v>
      </x:c>
      <x:c r="M11" s="26" t="str">
        <x:v>https://www.kasikornbank.com/en/IR/Pages/home.aspx</x:v>
      </x:c>
      <x:c r="N11" s="26" t="str">
        <x:v>Current</x:v>
      </x:c>
      <x:c r="O11" s="26" t="str">
        <x:v>2026-10-07</x:v>
      </x:c>
      <x:c r="P11" s="26" t="str">
        <x:v>1H2026 / Q2 2026</x:v>
      </x:c>
      <x:c r="Q11" s="26" t="str">
        <x:v>2026-10-08</x:v>
      </x:c>
    </x:row>
    <x:row r="12">
      <x:c r="A12" s="26" t="n">
        <x:v>9</x:v>
      </x:c>
      <x:c r="B12" s="26" t="str">
        <x:v>SCB</x:v>
      </x:c>
      <x:c r="C12" s="26" t="str">
        <x:v>SCB X PCL.</x:v>
      </x:c>
      <x:c r="D12" s="26" t="str">
        <x:v>Banking</x:v>
      </x:c>
      <x:c r="E12" s="28" t="n">
        <x:v>146</x:v>
      </x:c>
      <x:c r="F12" s="28" t="n">
        <x:v>491597.66</x:v>
      </x:c>
      <x:c r="G12" s="26" t="str">
        <x:v>Completed</x:v>
      </x:c>
      <x:c r="H12" s="26" t="n">
        <x:v>2</x:v>
      </x:c>
      <x:c r="I12" s="26" t="str">
        <x:v>2026-10-08</x:v>
      </x:c>
      <x:c r="J12" s="26" t="str">
        <x:v>1H2026 / Q2 2026</x:v>
      </x:c>
      <x:c r="K12" s="26" t="str">
        <x:v>2026-10-07</x:v>
      </x:c>
      <x:c r="L12" s="26" t="str">
        <x:v>https://www.set.or.th/en/market/product/stock/quote/SCB/factsheet</x:v>
      </x:c>
      <x:c r="M12" s="26" t="str">
        <x:v>https://investor.scbx.com/en/home</x:v>
      </x:c>
      <x:c r="N12" s="26" t="str">
        <x:v>Current</x:v>
      </x:c>
      <x:c r="O12" s="26" t="str">
        <x:v>2026-10-07</x:v>
      </x:c>
      <x:c r="P12" s="26" t="str">
        <x:v>1H2026 / Q2 2026</x:v>
      </x:c>
      <x:c r="Q12" s="26" t="str">
        <x:v>2026-10-08</x:v>
      </x:c>
    </x:row>
    <x:row r="13">
      <x:c r="A13" s="26" t="n">
        <x:v>10</x:v>
      </x:c>
      <x:c r="B13" s="26" t="str">
        <x:v>TRUE</x:v>
      </x:c>
      <x:c r="C13" s="26" t="str">
        <x:v>True Corporation PCL.</x:v>
      </x:c>
      <x:c r="D13" s="26" t="str">
        <x:v>Information &amp; Communication Technology</x:v>
      </x:c>
      <x:c r="E13" s="28" t="n">
        <x:v>12.7</x:v>
      </x:c>
      <x:c r="F13" s="28" t="n">
        <x:v>438811.68</x:v>
      </x:c>
      <x:c r="G13" s="26" t="str">
        <x:v>Completed</x:v>
      </x:c>
      <x:c r="H13" s="26" t="n">
        <x:v>2</x:v>
      </x:c>
      <x:c r="I13" s="26" t="str">
        <x:v>2026-10-08</x:v>
      </x:c>
      <x:c r="J13" s="26" t="str">
        <x:v>1H2026 / Q2 2026</x:v>
      </x:c>
      <x:c r="K13" s="26" t="str">
        <x:v>2026-10-07</x:v>
      </x:c>
      <x:c r="L13" s="26" t="str">
        <x:v>https://www.set.or.th/en/market/product/stock/quote/TRUE/factsheet</x:v>
      </x:c>
      <x:c r="M13" s="26" t="str">
        <x:v>https://investor-th.truecorp.co.th/financials.html</x:v>
      </x:c>
      <x:c r="N13" s="26" t="str">
        <x:v>Current</x:v>
      </x:c>
      <x:c r="O13" s="26" t="str">
        <x:v>2026-10-07</x:v>
      </x:c>
      <x:c r="P13" s="26" t="str">
        <x:v>1H2026 / Q2 2026</x:v>
      </x:c>
      <x:c r="Q13" s="26" t="str">
        <x:v>2026-10-08</x:v>
      </x:c>
    </x:row>
    <x:row r="14">
      <x:c r="A14" s="26" t="n">
        <x:v>11</x:v>
      </x:c>
      <x:c r="B14" s="26" t="str">
        <x:v>CPALL</x:v>
      </x:c>
      <x:c r="C14" s="26" t="str">
        <x:v>CP ALL PCL.</x:v>
      </x:c>
      <x:c r="D14" s="26" t="str">
        <x:v>Commerce</x:v>
      </x:c>
      <x:c r="E14" s="28" t="n">
        <x:v>42.5</x:v>
      </x:c>
      <x:c r="F14" s="28" t="n">
        <x:v>381781.81</x:v>
      </x:c>
      <x:c r="G14" s="26" t="str">
        <x:v>Completed</x:v>
      </x:c>
      <x:c r="H14" s="26" t="n">
        <x:v>3</x:v>
      </x:c>
      <x:c r="I14" s="26" t="str">
        <x:v>2026-10-08</x:v>
      </x:c>
      <x:c r="J14" s="26" t="str">
        <x:v>1H2026 / Q2 2026</x:v>
      </x:c>
      <x:c r="K14" s="26" t="str">
        <x:v>2026-10-07</x:v>
      </x:c>
      <x:c r="L14" s="26" t="str">
        <x:v>https://www.set.or.th/en/market/product/stock/quote/CPALL/factsheet</x:v>
      </x:c>
      <x:c r="M14" s="26" t="str">
        <x:v>https://www.cpall.co.th/investor</x:v>
      </x:c>
      <x:c r="N14" s="26" t="str">
        <x:v>Current</x:v>
      </x:c>
      <x:c r="O14" s="26" t="str">
        <x:v>2026-10-07</x:v>
      </x:c>
      <x:c r="P14" s="26" t="str">
        <x:v>1H2026 / Q2 2026</x:v>
      </x:c>
      <x:c r="Q14" s="26" t="str">
        <x:v>2026-10-08</x:v>
      </x:c>
    </x:row>
    <x:row r="15">
      <x:c r="A15" s="26" t="n">
        <x:v>12</x:v>
      </x:c>
      <x:c r="B15" s="26" t="str">
        <x:v>BBL</x:v>
      </x:c>
      <x:c r="C15" s="26" t="str">
        <x:v>Bangkok Bank PCL.</x:v>
      </x:c>
      <x:c r="D15" s="26" t="str">
        <x:v>Banking</x:v>
      </x:c>
      <x:c r="E15" s="28" t="n">
        <x:v>183</x:v>
      </x:c>
      <x:c r="F15" s="28" t="n">
        <x:v>349318.25</x:v>
      </x:c>
      <x:c r="G15" s="26" t="str">
        <x:v>Completed</x:v>
      </x:c>
      <x:c r="H15" s="26" t="n">
        <x:v>3</x:v>
      </x:c>
      <x:c r="I15" s="26" t="str">
        <x:v>2026-10-08</x:v>
      </x:c>
      <x:c r="J15" s="26" t="str">
        <x:v>1H2026 / Q2 2026</x:v>
      </x:c>
      <x:c r="K15" s="26" t="str">
        <x:v>2026-10-07</x:v>
      </x:c>
      <x:c r="L15" s="26" t="str">
        <x:v>https://www.set.or.th/en/market/product/stock/quote/BBL/factsheet</x:v>
      </x:c>
      <x:c r="M15" s="26" t="str">
        <x:v>https://www.bangkokbank.com/en/Investor-Relations</x:v>
      </x:c>
      <x:c r="N15" s="26" t="str">
        <x:v>Current</x:v>
      </x:c>
      <x:c r="O15" s="26" t="str">
        <x:v>2026-10-07</x:v>
      </x:c>
      <x:c r="P15" s="26" t="str">
        <x:v>1H2026 / Q2 2026</x:v>
      </x:c>
      <x:c r="Q15" s="26" t="str">
        <x:v>2026-10-08</x:v>
      </x:c>
    </x:row>
    <x:row r="16">
      <x:c r="A16" s="26" t="n">
        <x:v>13</x:v>
      </x:c>
      <x:c r="B16" s="26" t="str">
        <x:v>SCC</x:v>
      </x:c>
      <x:c r="C16" s="26" t="str">
        <x:v>The Siam Cement PCL.</x:v>
      </x:c>
      <x:c r="D16" s="26" t="str">
        <x:v>Construction Materials</x:v>
      </x:c>
      <x:c r="E16" s="28" t="n">
        <x:v>265</x:v>
      </x:c>
      <x:c r="F16" s="28" t="n">
        <x:v>318000</x:v>
      </x:c>
      <x:c r="G16" s="26" t="str">
        <x:v>Completed</x:v>
      </x:c>
      <x:c r="H16" s="26" t="n">
        <x:v>3</x:v>
      </x:c>
      <x:c r="I16" s="26" t="str">
        <x:v>2026-10-08</x:v>
      </x:c>
      <x:c r="J16" s="26" t="str">
        <x:v>1H2026 / Q2 2026</x:v>
      </x:c>
      <x:c r="K16" s="26" t="str">
        <x:v>2026-10-07</x:v>
      </x:c>
      <x:c r="L16" s="26" t="str">
        <x:v>https://www.set.or.th/en/market/product/stock/quote/SCC/factsheet</x:v>
      </x:c>
      <x:c r="M16" s="26" t="str">
        <x:v>https://www.scg.com/investor-relations</x:v>
      </x:c>
      <x:c r="N16" s="26" t="str">
        <x:v>Current</x:v>
      </x:c>
      <x:c r="O16" s="26" t="str">
        <x:v>2026-10-07</x:v>
      </x:c>
      <x:c r="P16" s="26" t="str">
        <x:v>1H2026 / Q2 2026</x:v>
      </x:c>
      <x:c r="Q16" s="26" t="str">
        <x:v>2026-10-08</x:v>
      </x:c>
    </x:row>
    <x:row r="17">
      <x:c r="A17" s="26" t="n">
        <x:v>14</x:v>
      </x:c>
      <x:c r="B17" s="26" t="str">
        <x:v>BDMS</x:v>
      </x:c>
      <x:c r="C17" s="26" t="str">
        <x:v>Bangkok Dusit Medical Services PCL.</x:v>
      </x:c>
      <x:c r="D17" s="26" t="str">
        <x:v>Health Care Services</x:v>
      </x:c>
      <x:c r="E17" s="28" t="n">
        <x:v>19</x:v>
      </x:c>
      <x:c r="F17" s="28" t="n">
        <x:v>301948.04</x:v>
      </x:c>
      <x:c r="G17" s="26" t="str">
        <x:v>Completed</x:v>
      </x:c>
      <x:c r="H17" s="26" t="n">
        <x:v>3</x:v>
      </x:c>
      <x:c r="I17" s="26" t="str">
        <x:v>2026-10-08</x:v>
      </x:c>
      <x:c r="J17" s="26" t="str">
        <x:v>1H2026 / Q2 2026</x:v>
      </x:c>
      <x:c r="K17" s="26" t="str">
        <x:v>2026-10-07</x:v>
      </x:c>
      <x:c r="L17" s="26" t="str">
        <x:v>https://www.set.or.th/en/market/product/stock/quote/BDMS/factsheet</x:v>
      </x:c>
      <x:c r="M17" s="26" t="str">
        <x:v>https://investor.bdms.co.th/en/home</x:v>
      </x:c>
      <x:c r="N17" s="26" t="str">
        <x:v>Current</x:v>
      </x:c>
      <x:c r="O17" s="26" t="str">
        <x:v>2026-10-07</x:v>
      </x:c>
      <x:c r="P17" s="26" t="str">
        <x:v>1H2026 / Q2 2026</x:v>
      </x:c>
      <x:c r="Q17" s="26" t="str">
        <x:v>2026-10-08</x:v>
      </x:c>
    </x:row>
    <x:row r="18">
      <x:c r="A18" s="26" t="n">
        <x:v>15</x:v>
      </x:c>
      <x:c r="B18" s="26" t="str">
        <x:v>TTB</x:v>
      </x:c>
      <x:c r="C18" s="26" t="str">
        <x:v>TMBThanachart Bank PCL.</x:v>
      </x:c>
      <x:c r="D18" s="26" t="str">
        <x:v>Banking</x:v>
      </x:c>
      <x:c r="E18" s="28" t="n">
        <x:v>2.94</x:v>
      </x:c>
      <x:c r="F18" s="28" t="n">
        <x:v>286859.74</x:v>
      </x:c>
      <x:c r="G18" s="26" t="str">
        <x:v>Completed</x:v>
      </x:c>
      <x:c r="H18" s="26" t="n">
        <x:v>4</x:v>
      </x:c>
      <x:c r="I18" s="26" t="str">
        <x:v>2026-10-08</x:v>
      </x:c>
      <x:c r="J18" s="26" t="str">
        <x:v>1H2026 / Q2 2026</x:v>
      </x:c>
      <x:c r="K18" s="26" t="str">
        <x:v>2026-10-07</x:v>
      </x:c>
      <x:c r="L18" s="26" t="str">
        <x:v>https://www.set.or.th/en/market/product/stock/quote/TTB/factsheet</x:v>
      </x:c>
      <x:c r="M18" s="26" t="str">
        <x:v>https://www.ttbbank.com/en/ir</x:v>
      </x:c>
      <x:c r="N18" s="26" t="str">
        <x:v>Current</x:v>
      </x:c>
      <x:c r="O18" s="26" t="str">
        <x:v>2026-10-07</x:v>
      </x:c>
      <x:c r="P18" s="26" t="str">
        <x:v>1H2026 / Q2 2026</x:v>
      </x:c>
      <x:c r="Q18" s="26" t="str">
        <x:v>2026-10-08</x:v>
      </x:c>
    </x:row>
    <x:row r="19">
      <x:c r="A19" s="26" t="n">
        <x:v>16</x:v>
      </x:c>
      <x:c r="B19" s="26" t="str">
        <x:v>CPN</x:v>
      </x:c>
      <x:c r="C19" s="26" t="str">
        <x:v>Central Pattana PCL.</x:v>
      </x:c>
      <x:c r="D19" s="26" t="str">
        <x:v>Property Development</x:v>
      </x:c>
      <x:c r="E19" s="28" t="n">
        <x:v>62.75</x:v>
      </x:c>
      <x:c r="F19" s="28" t="n">
        <x:v>281622</x:v>
      </x:c>
      <x:c r="G19" s="26" t="str">
        <x:v>Completed</x:v>
      </x:c>
      <x:c r="H19" s="26" t="n">
        <x:v>4</x:v>
      </x:c>
      <x:c r="I19" s="26" t="str">
        <x:v>2026-10-08</x:v>
      </x:c>
      <x:c r="J19" s="26" t="str">
        <x:v>1H2026 / Q2 2026</x:v>
      </x:c>
      <x:c r="K19" s="26" t="str">
        <x:v>2026-10-07</x:v>
      </x:c>
      <x:c r="L19" s="26" t="str">
        <x:v>https://www.set.or.th/en/market/product/stock/quote/CPN/factsheet</x:v>
      </x:c>
      <x:c r="M19" s="26" t="str">
        <x:v>https://investor.centralpattana.co.th/en/home</x:v>
      </x:c>
      <x:c r="N19" s="26" t="str">
        <x:v>Current</x:v>
      </x:c>
      <x:c r="O19" s="26" t="str">
        <x:v>2026-10-07</x:v>
      </x:c>
      <x:c r="P19" s="26" t="str">
        <x:v>1H2026 / Q2 2026</x:v>
      </x:c>
      <x:c r="Q19" s="26" t="str">
        <x:v>2026-10-08</x:v>
      </x:c>
    </x:row>
    <x:row r="20">
      <x:c r="A20" s="26" t="n">
        <x:v>17</x:v>
      </x:c>
      <x:c r="B20" s="26" t="str">
        <x:v>PTTGC</x:v>
      </x:c>
      <x:c r="C20" s="26" t="str">
        <x:v>PTT Global Chemical PCL.</x:v>
      </x:c>
      <x:c r="D20" s="26" t="str">
        <x:v>Petrochemicals &amp; Chemicals</x:v>
      </x:c>
      <x:c r="E20" s="28" t="n">
        <x:v>53</x:v>
      </x:c>
      <x:c r="F20" s="28" t="n">
        <x:v>238969</x:v>
      </x:c>
      <x:c r="G20" s="26" t="str">
        <x:v>Completed</x:v>
      </x:c>
      <x:c r="H20" s="26" t="n">
        <x:v>5</x:v>
      </x:c>
      <x:c r="I20" s="26" t="str">
        <x:v>2026-10-09</x:v>
      </x:c>
      <x:c r="J20" s="26" t="str">
        <x:v>1H2026 / Q2 2026</x:v>
      </x:c>
      <x:c r="K20" s="26" t="str">
        <x:v>2026-10-08</x:v>
      </x:c>
      <x:c r="L20" s="26" t="str">
        <x:v>https://www.set.or.th/en/market/product/stock/quote/PTTGC/factsheet</x:v>
      </x:c>
      <x:c r="M20" s="26" t="str">
        <x:v>https://www.pttgcgroup.com/en/investor-relations/home</x:v>
      </x:c>
      <x:c r="N20" s="26" t="str">
        <x:v>Current</x:v>
      </x:c>
      <x:c r="O20" s="26" t="str">
        <x:v>2026-10-08</x:v>
      </x:c>
      <x:c r="P20" s="26" t="str">
        <x:v>1H2026 / Q2 2026</x:v>
      </x:c>
      <x:c r="Q20" s="26" t="str">
        <x:v>2026-10-09</x:v>
      </x:c>
    </x:row>
    <x:row r="21">
      <x:c r="A21" s="26" t="n">
        <x:v>18</x:v>
      </x:c>
      <x:c r="B21" s="26" t="str">
        <x:v>CRC</x:v>
      </x:c>
      <x:c r="C21" s="26" t="str">
        <x:v>Central Retail Corporation PCL.</x:v>
      </x:c>
      <x:c r="D21" s="26" t="str">
        <x:v>Commerce</x:v>
      </x:c>
      <x:c r="E21" s="28" t="n">
        <x:v>31.5</x:v>
      </x:c>
      <x:c r="F21" s="28" t="n">
        <x:v>189976.5</x:v>
      </x:c>
      <x:c r="G21" s="26" t="str">
        <x:v>Completed</x:v>
      </x:c>
      <x:c r="H21" s="26" t="n">
        <x:v>5</x:v>
      </x:c>
      <x:c r="I21" s="26" t="str">
        <x:v>2026-10-09</x:v>
      </x:c>
      <x:c r="J21" s="26" t="str">
        <x:v>1H2026 / Q2 2026</x:v>
      </x:c>
      <x:c r="K21" s="26" t="str">
        <x:v>2026-10-08</x:v>
      </x:c>
      <x:c r="L21" s="26" t="str">
        <x:v>https://www.set.or.th/en/market/product/stock/quote/CRC/factsheet</x:v>
      </x:c>
      <x:c r="M21" s="26" t="str">
        <x:v>https://www.centralretail.com/en/investor-relations</x:v>
      </x:c>
      <x:c r="N21" s="26" t="str">
        <x:v>Current</x:v>
      </x:c>
      <x:c r="O21" s="26" t="str">
        <x:v>2026-10-08</x:v>
      </x:c>
      <x:c r="P21" s="26" t="str">
        <x:v>1H2026 / Q2 2026</x:v>
      </x:c>
      <x:c r="Q21" s="26" t="str">
        <x:v>2026-10-09</x:v>
      </x:c>
    </x:row>
    <x:row r="22">
      <x:c r="A22" s="26" t="n">
        <x:v>19</x:v>
      </x:c>
      <x:c r="B22" s="26" t="str">
        <x:v>CPF</x:v>
      </x:c>
      <x:c r="C22" s="26" t="str">
        <x:v>Charoen Pokphand Foods PCL.</x:v>
      </x:c>
      <x:c r="D22" s="26" t="str">
        <x:v>Food &amp; Beverage</x:v>
      </x:c>
      <x:c r="E22" s="28" t="n">
        <x:v>21.2</x:v>
      </x:c>
      <x:c r="F22" s="28" t="n">
        <x:v>174752.89</x:v>
      </x:c>
      <x:c r="G22" s="26" t="str">
        <x:v>Completed</x:v>
      </x:c>
      <x:c r="H22" s="26" t="n">
        <x:v>5</x:v>
      </x:c>
      <x:c r="I22" s="26" t="str">
        <x:v>2026-10-09</x:v>
      </x:c>
      <x:c r="J22" s="26" t="str">
        <x:v>1H2026 / Q2 2026</x:v>
      </x:c>
      <x:c r="K22" s="26" t="str">
        <x:v>2026-10-08</x:v>
      </x:c>
      <x:c r="L22" s="26" t="str">
        <x:v>https://www.set.or.th/en/market/product/stock/quote/CPF/factsheet</x:v>
      </x:c>
      <x:c r="M22" s="26" t="str">
        <x:v>https://www.cpfworldwide.com/en/investors</x:v>
      </x:c>
      <x:c r="N22" s="26" t="str">
        <x:v>Current</x:v>
      </x:c>
      <x:c r="O22" s="26" t="str">
        <x:v>2026-10-08</x:v>
      </x:c>
      <x:c r="P22" s="26" t="str">
        <x:v>1H2026 / Q2 2026</x:v>
      </x:c>
      <x:c r="Q22" s="26" t="str">
        <x:v>2026-10-09</x:v>
      </x:c>
    </x:row>
    <x:row r="23">
      <x:c r="A23" s="26" t="n">
        <x:v>20</x:v>
      </x:c>
      <x:c r="B23" s="26" t="str">
        <x:v>TOP</x:v>
      </x:c>
      <x:c r="C23" s="26" t="str">
        <x:v>Thai Oil PCL.</x:v>
      </x:c>
      <x:c r="D23" s="26" t="str">
        <x:v>Energy &amp; Utilities</x:v>
      </x:c>
      <x:c r="E23" s="28" t="n">
        <x:v>76.25</x:v>
      </x:c>
      <x:c r="F23" s="28" t="n">
        <x:v>170329.96</x:v>
      </x:c>
      <x:c r="G23" s="26" t="str">
        <x:v>Completed</x:v>
      </x:c>
      <x:c r="H23" s="26" t="n">
        <x:v>5</x:v>
      </x:c>
      <x:c r="I23" s="26" t="str">
        <x:v>2026-10-09</x:v>
      </x:c>
      <x:c r="J23" s="26" t="str">
        <x:v>1H2026 / Q2 2026</x:v>
      </x:c>
      <x:c r="K23" s="26" t="str">
        <x:v>2026-10-08</x:v>
      </x:c>
      <x:c r="L23" s="26" t="str">
        <x:v>https://www.set.or.th/en/market/product/stock/quote/TOP/factsheet</x:v>
      </x:c>
      <x:c r="M23" s="26" t="str">
        <x:v>https://investor.thaioilgroup.com/en/home</x:v>
      </x:c>
      <x:c r="N23" s="26" t="str">
        <x:v>Current</x:v>
      </x:c>
      <x:c r="O23" s="26" t="str">
        <x:v>2026-10-08</x:v>
      </x:c>
      <x:c r="P23" s="26" t="str">
        <x:v>1H2026 / Q2 2026</x:v>
      </x:c>
      <x:c r="Q23" s="26" t="str">
        <x:v>2026-10-09</x:v>
      </x:c>
    </x:row>
    <x:row r="24">
      <x:c r="A24" s="26" t="n">
        <x:v>21</x:v>
      </x:c>
      <x:c r="B24" s="26" t="str">
        <x:v>IVL</x:v>
      </x:c>
      <x:c r="C24" s="26" t="str">
        <x:v>Indorama Ventures PCL.</x:v>
      </x:c>
      <x:c r="D24" s="26" t="str">
        <x:v>Petrochemicals &amp; Chemicals</x:v>
      </x:c>
      <x:c r="E24" s="28" t="n">
        <x:v>28.25</x:v>
      </x:c>
      <x:c r="F24" s="28" t="n">
        <x:v>158611.09</x:v>
      </x:c>
      <x:c r="G24" s="26" t="str">
        <x:v>Completed</x:v>
      </x:c>
      <x:c r="H24" s="26" t="n">
        <x:v>5</x:v>
      </x:c>
      <x:c r="I24" s="26" t="str">
        <x:v>2026-10-09</x:v>
      </x:c>
      <x:c r="J24" s="26" t="str">
        <x:v>1H2026 / Q2 2026</x:v>
      </x:c>
      <x:c r="K24" s="26" t="str">
        <x:v>2026-10-08</x:v>
      </x:c>
      <x:c r="L24" s="26" t="str">
        <x:v>https://www.set.or.th/en/market/product/stock/quote/IVL/factsheet</x:v>
      </x:c>
      <x:c r="M24" s="26" t="str">
        <x:v>https://www.indoramaventures.com/en/investor-relations</x:v>
      </x:c>
      <x:c r="N24" s="26" t="str">
        <x:v>Current</x:v>
      </x:c>
      <x:c r="O24" s="26" t="str">
        <x:v>2026-10-08</x:v>
      </x:c>
      <x:c r="P24" s="26" t="str">
        <x:v>1H2026 / Q2 2026</x:v>
      </x:c>
      <x:c r="Q24" s="26" t="str">
        <x:v>2026-10-09</x:v>
      </x:c>
    </x:row>
    <x:row r="25">
      <x:c r="A25" s="26" t="n">
        <x:v>22</x:v>
      </x:c>
      <x:c r="B25" s="26" t="str">
        <x:v>THAI</x:v>
      </x:c>
      <x:c r="C25" s="26" t="str">
        <x:v>Thai Airways International PCL.</x:v>
      </x:c>
      <x:c r="D25" s="26" t="str">
        <x:v>Transportation &amp; Logistics</x:v>
      </x:c>
      <x:c r="E25" s="28" t="n">
        <x:v>5.55</x:v>
      </x:c>
      <x:c r="F25" s="28" t="n">
        <x:v>157083.27</x:v>
      </x:c>
      <x:c r="G25" s="26" t="str">
        <x:v>Completed</x:v>
      </x:c>
      <x:c r="H25" s="26" t="n">
        <x:v>5</x:v>
      </x:c>
      <x:c r="I25" s="26" t="str">
        <x:v>2026-10-09</x:v>
      </x:c>
      <x:c r="J25" s="26" t="str">
        <x:v>1H2026 / Q2 2026</x:v>
      </x:c>
      <x:c r="K25" s="26" t="str">
        <x:v>2026-10-08</x:v>
      </x:c>
      <x:c r="L25" s="26" t="str">
        <x:v>https://www.set.or.th/en/market/product/stock/quote/THAI/factsheet</x:v>
      </x:c>
      <x:c r="M25" s="26" t="str">
        <x:v>https://ir.thaiairways.com/</x:v>
      </x:c>
      <x:c r="N25" s="26" t="str">
        <x:v>Current</x:v>
      </x:c>
      <x:c r="O25" s="26" t="str">
        <x:v>2026-10-08</x:v>
      </x:c>
      <x:c r="P25" s="26" t="str">
        <x:v>1H2026 / Q2 2026</x:v>
      </x:c>
      <x:c r="Q25" s="26" t="str">
        <x:v>2026-10-09</x:v>
      </x:c>
    </x:row>
    <x:row r="26">
      <x:c r="A26" s="26" t="n">
        <x:v>23</x:v>
      </x:c>
      <x:c r="B26" s="26" t="str">
        <x:v>BH</x:v>
      </x:c>
      <x:c r="C26" s="26" t="str">
        <x:v>Bumrungrad Hospital PCL.</x:v>
      </x:c>
      <x:c r="D26" s="26" t="str">
        <x:v>Health Care Services</x:v>
      </x:c>
      <x:c r="E26" s="28" t="n">
        <x:v>188.5</x:v>
      </x:c>
      <x:c r="F26" s="28" t="n">
        <x:v>149851.2</x:v>
      </x:c>
      <x:c r="G26" s="26" t="str">
        <x:v>Completed</x:v>
      </x:c>
      <x:c r="H26" s="26" t="n">
        <x:v>5</x:v>
      </x:c>
      <x:c r="I26" s="26" t="str">
        <x:v>2026-10-09</x:v>
      </x:c>
      <x:c r="J26" s="26" t="str">
        <x:v>1H2026 / Q2 2026</x:v>
      </x:c>
      <x:c r="K26" s="26" t="str">
        <x:v>2026-10-08</x:v>
      </x:c>
      <x:c r="L26" s="26" t="str">
        <x:v>https://www.set.or.th/en/market/product/stock/quote/BH/factsheet</x:v>
      </x:c>
      <x:c r="M26" s="26" t="str">
        <x:v>https://investor.bumrungrad.com/home.html</x:v>
      </x:c>
      <x:c r="N26" s="26" t="str">
        <x:v>Current</x:v>
      </x:c>
      <x:c r="O26" s="26" t="str">
        <x:v>2026-10-08</x:v>
      </x:c>
      <x:c r="P26" s="26" t="str">
        <x:v>1H2026 / Q2 2026</x:v>
      </x:c>
      <x:c r="Q26" s="26" t="str">
        <x:v>2026-10-09</x:v>
      </x:c>
    </x:row>
    <x:row r="27">
      <x:c r="A27" s="26" t="n">
        <x:v>24</x:v>
      </x:c>
      <x:c r="B27" s="26" t="str">
        <x:v>CPAXT</x:v>
      </x:c>
      <x:c r="C27" s="26" t="str">
        <x:v>CP Axtra PCL.</x:v>
      </x:c>
      <x:c r="D27" s="26" t="str">
        <x:v>Commerce</x:v>
      </x:c>
      <x:c r="E27" s="28" t="n">
        <x:v>14.1</x:v>
      </x:c>
      <x:c r="F27" s="28" t="n">
        <x:v>147030.03</x:v>
      </x:c>
      <x:c r="G27" s="26" t="str">
        <x:v>Completed</x:v>
      </x:c>
      <x:c r="H27" s="26" t="n">
        <x:v>6</x:v>
      </x:c>
      <x:c r="I27" s="26" t="str">
        <x:v>2026-10-12</x:v>
      </x:c>
      <x:c r="J27" s="26" t="str">
        <x:v>1H2026 / Q2 2026</x:v>
      </x:c>
      <x:c r="K27" s="26" t="str">
        <x:v>2026-10-09</x:v>
      </x:c>
      <x:c r="L27" s="26" t="str">
        <x:v>https://www.set.or.th/en/market/product/stock/quote/CPAXT/factsheet</x:v>
      </x:c>
      <x:c r="M27" s="26" t="str">
        <x:v>https://www.cpaxtra.com/en/investor-relations</x:v>
      </x:c>
      <x:c r="N27" s="26" t="str">
        <x:v>Current</x:v>
      </x:c>
      <x:c r="O27" s="26" t="str">
        <x:v>2026-10-09</x:v>
      </x:c>
      <x:c r="P27" s="26" t="str">
        <x:v>1H2026 / Q2 2026</x:v>
      </x:c>
      <x:c r="Q27" s="26" t="str">
        <x:v>2026-10-12</x:v>
      </x:c>
    </x:row>
    <x:row r="28">
      <x:c r="A28" s="26" t="n">
        <x:v>25</x:v>
      </x:c>
      <x:c r="B28" s="26" t="str">
        <x:v>OR</x:v>
      </x:c>
      <x:c r="C28" s="26" t="str">
        <x:v>PTT Oil and Retail Business PCL.</x:v>
      </x:c>
      <x:c r="D28" s="26" t="str">
        <x:v>Energy &amp; Utilities</x:v>
      </x:c>
      <x:c r="E28" s="28" t="n">
        <x:v>12</x:v>
      </x:c>
      <x:c r="F28" s="28" t="n">
        <x:v>144000</x:v>
      </x:c>
      <x:c r="G28" s="26" t="str">
        <x:v>Completed</x:v>
      </x:c>
      <x:c r="H28" s="26" t="n">
        <x:v>5</x:v>
      </x:c>
      <x:c r="I28" s="26" t="str">
        <x:v>2026-10-12</x:v>
      </x:c>
      <x:c r="J28" s="26" t="str">
        <x:v>1H2026 / Q2 2026</x:v>
      </x:c>
      <x:c r="K28" s="26" t="str">
        <x:v>2026-10-09</x:v>
      </x:c>
      <x:c r="L28" s="26" t="str">
        <x:v>https://www.set.or.th/en/market/product/stock/quote/OR/factsheet</x:v>
      </x:c>
      <x:c r="M28" s="26" t="str">
        <x:v>https://investor.pttor.com/en/home</x:v>
      </x:c>
      <x:c r="N28" s="26" t="str">
        <x:v>Current</x:v>
      </x:c>
      <x:c r="O28" s="26" t="str">
        <x:v>2026-10-09</x:v>
      </x:c>
      <x:c r="P28" s="26" t="str">
        <x:v>1H2026 / Q2 2026</x:v>
      </x:c>
      <x:c r="Q28" s="26" t="str">
        <x:v>2026-10-12</x:v>
      </x:c>
    </x:row>
    <x:row r="29">
      <x:c r="A29" s="26" t="n">
        <x:v>26</x:v>
      </x:c>
      <x:c r="B29" s="26" t="str">
        <x:v>GPSC</x:v>
      </x:c>
      <x:c r="C29" s="26" t="str">
        <x:v>Global Power Synergy PCL.</x:v>
      </x:c>
      <x:c r="D29" s="26" t="str">
        <x:v>Energy &amp; Utilities</x:v>
      </x:c>
      <x:c r="E29" s="28" t="n">
        <x:v>50.75</x:v>
      </x:c>
      <x:c r="F29" s="28" t="n">
        <x:v>143101.27</x:v>
      </x:c>
      <x:c r="G29" s="26" t="str">
        <x:v>Completed</x:v>
      </x:c>
      <x:c r="H29" s="26" t="n">
        <x:v>6</x:v>
      </x:c>
      <x:c r="I29" s="26" t="str">
        <x:v>2026-10-12</x:v>
      </x:c>
      <x:c r="J29" s="26" t="str">
        <x:v>1H2026 / Q2 2026</x:v>
      </x:c>
      <x:c r="K29" s="26" t="str">
        <x:v>2026-10-09</x:v>
      </x:c>
      <x:c r="L29" s="26" t="str">
        <x:v>https://www.set.or.th/en/market/product/stock/quote/GPSC/factsheet</x:v>
      </x:c>
      <x:c r="M29" s="26" t="str">
        <x:v>https://www.gpscgroup.com/en/investor-relations/home</x:v>
      </x:c>
      <x:c r="N29" s="26" t="str">
        <x:v>Current</x:v>
      </x:c>
      <x:c r="O29" s="26" t="str">
        <x:v>2026-10-09</x:v>
      </x:c>
      <x:c r="P29" s="26" t="str">
        <x:v>1H2026 / Q2 2026</x:v>
      </x:c>
      <x:c r="Q29" s="26" t="str">
        <x:v>2026-10-12</x:v>
      </x:c>
    </x:row>
    <x:row r="30">
      <x:c r="A30" s="26" t="n">
        <x:v>27</x:v>
      </x:c>
      <x:c r="B30" s="26" t="str">
        <x:v>SCGP</x:v>
      </x:c>
      <x:c r="C30" s="26" t="str">
        <x:v>SCG Packaging PCL.</x:v>
      </x:c>
      <x:c r="D30" s="26" t="str">
        <x:v>Packaging</x:v>
      </x:c>
      <x:c r="E30" s="28" t="n">
        <x:v>30.25</x:v>
      </x:c>
      <x:c r="F30" s="28" t="n">
        <x:v>129860.84</x:v>
      </x:c>
      <x:c r="G30" s="26" t="str">
        <x:v>Completed</x:v>
      </x:c>
      <x:c r="H30" s="26" t="n">
        <x:v>7</x:v>
      </x:c>
      <x:c r="I30" s="26" t="str">
        <x:v>2026-10-12</x:v>
      </x:c>
      <x:c r="J30" s="26" t="str">
        <x:v>1H2026 / Q2 2026</x:v>
      </x:c>
      <x:c r="K30" s="26" t="str">
        <x:v>2026-10-09</x:v>
      </x:c>
      <x:c r="L30" s="26" t="str">
        <x:v>https://www.set.or.th/en/market/product/stock/quote/SCGP/factsheet</x:v>
      </x:c>
      <x:c r="M30" s="26" t="str">
        <x:v>https://newsroom.scgpackaging.com/en/</x:v>
      </x:c>
      <x:c r="N30" s="26" t="str">
        <x:v>Current</x:v>
      </x:c>
      <x:c r="O30" s="26" t="str">
        <x:v>2026-10-09</x:v>
      </x:c>
      <x:c r="P30" s="26" t="str">
        <x:v>1H2026 / Q2 2026</x:v>
      </x:c>
      <x:c r="Q30" s="26" t="str">
        <x:v>2026-10-12</x:v>
      </x:c>
    </x:row>
    <x:row r="31">
      <x:c r="A31" s="26" t="n">
        <x:v>28</x:v>
      </x:c>
      <x:c r="B31" s="26" t="str">
        <x:v>MINT</x:v>
      </x:c>
      <x:c r="C31" s="26" t="str">
        <x:v>Minor International PCL.</x:v>
      </x:c>
      <x:c r="D31" s="26" t="str">
        <x:v>Tourism &amp; Leisure</x:v>
      </x:c>
      <x:c r="E31" s="28" t="n">
        <x:v>20.4</x:v>
      </x:c>
      <x:c r="F31" s="28" t="n">
        <x:v>115667.53</x:v>
      </x:c>
      <x:c r="G31" s="26" t="str">
        <x:v>Completed</x:v>
      </x:c>
      <x:c r="H31" s="26" t="n">
        <x:v>6</x:v>
      </x:c>
      <x:c r="I31" s="26" t="str">
        <x:v>2026-10-12</x:v>
      </x:c>
      <x:c r="J31" s="26" t="str">
        <x:v>1H2026 / Q2 2026</x:v>
      </x:c>
      <x:c r="K31" s="26" t="str">
        <x:v>2026-10-09</x:v>
      </x:c>
      <x:c r="L31" s="26" t="str">
        <x:v>https://www.set.or.th/en/market/product/stock/quote/MINT/factsheet</x:v>
      </x:c>
      <x:c r="M31" s="26" t="str">
        <x:v>https://www.minor.com/en/investor-relations</x:v>
      </x:c>
      <x:c r="N31" s="26" t="str">
        <x:v>Current</x:v>
      </x:c>
      <x:c r="O31" s="26" t="str">
        <x:v>2026-10-09</x:v>
      </x:c>
      <x:c r="P31" s="26" t="str">
        <x:v>1H2026 / Q2 2026</x:v>
      </x:c>
      <x:c r="Q31" s="26" t="str">
        <x:v>2026-10-12</x:v>
      </x:c>
    </x:row>
    <x:row r="32">
      <x:c r="A32" s="26" t="n">
        <x:v>29</x:v>
      </x:c>
      <x:c r="B32" s="26" t="str">
        <x:v>TISCO</x:v>
      </x:c>
      <x:c r="C32" s="26" t="str">
        <x:v>Tisco Financial Group PCL.</x:v>
      </x:c>
      <x:c r="D32" s="26" t="str">
        <x:v>Banking</x:v>
      </x:c>
      <x:c r="E32" s="28" t="n">
        <x:v>123.5</x:v>
      </x:c>
      <x:c r="F32" s="28" t="n">
        <x:v>98879.73</x:v>
      </x:c>
      <x:c r="G32" s="26" t="str">
        <x:v>Completed</x:v>
      </x:c>
      <x:c r="H32" s="26" t="n">
        <x:v>6</x:v>
      </x:c>
      <x:c r="I32" s="26" t="str">
        <x:v>2026-10-12</x:v>
      </x:c>
      <x:c r="J32" s="26" t="str">
        <x:v>1H2026 / Q2 2026</x:v>
      </x:c>
      <x:c r="K32" s="26" t="str">
        <x:v>2026-10-09</x:v>
      </x:c>
      <x:c r="L32" s="26" t="str">
        <x:v>https://www.set.or.th/en/market/product/stock/quote/TISCO/factsheet</x:v>
      </x:c>
      <x:c r="M32" s="26" t="str">
        <x:v>https://www.tisco.co.th/en/investor-relations</x:v>
      </x:c>
      <x:c r="N32" s="26" t="str">
        <x:v>Current</x:v>
      </x:c>
      <x:c r="O32" s="26" t="str">
        <x:v>2026-10-09</x:v>
      </x:c>
      <x:c r="P32" s="26" t="str">
        <x:v>1H2026 / Q2 2026</x:v>
      </x:c>
      <x:c r="Q32" s="26" t="str">
        <x:v>2026-10-12</x:v>
      </x:c>
    </x:row>
    <x:row r="33">
      <x:c r="A33" s="26" t="n">
        <x:v>30</x:v>
      </x:c>
      <x:c r="B33" s="26" t="str">
        <x:v>AWC</x:v>
      </x:c>
      <x:c r="C33" s="26" t="str">
        <x:v>Asset World Corp PCL.</x:v>
      </x:c>
      <x:c r="D33" s="26" t="str">
        <x:v>Property Development</x:v>
      </x:c>
      <x:c r="E33" s="28" t="n">
        <x:v>3.08</x:v>
      </x:c>
      <x:c r="F33" s="28" t="n">
        <x:v>98641.74</x:v>
      </x:c>
      <x:c r="G33" s="26" t="str">
        <x:v>Completed</x:v>
      </x:c>
      <x:c r="H33" s="26" t="n">
        <x:v>6</x:v>
      </x:c>
      <x:c r="I33" s="26" t="str">
        <x:v>2026-10-12</x:v>
      </x:c>
      <x:c r="J33" s="26" t="str">
        <x:v>1H2026 / Q2 2026</x:v>
      </x:c>
      <x:c r="K33" s="26" t="str">
        <x:v>2026-10-09</x:v>
      </x:c>
      <x:c r="L33" s="26" t="str">
        <x:v>https://www.set.or.th/en/market/product/stock/quote/AWC/factsheet</x:v>
      </x:c>
      <x:c r="M33" s="26" t="str">
        <x:v>https://www.assetworldcorp-th.com/en/investor-relations</x:v>
      </x:c>
      <x:c r="N33" s="26" t="str">
        <x:v>Current</x:v>
      </x:c>
      <x:c r="O33" s="26" t="str">
        <x:v>2026-10-09</x:v>
      </x:c>
      <x:c r="P33" s="26" t="str">
        <x:v>1H2026 / Q2 2026</x:v>
      </x:c>
      <x:c r="Q33" s="26" t="str">
        <x:v>2026-10-12</x:v>
      </x:c>
    </x:row>
    <x:row r="34">
      <x:c r="A34" s="26" t="n">
        <x:v>31</x:v>
      </x:c>
      <x:c r="B34" s="26" t="str">
        <x:v>BEM</x:v>
      </x:c>
      <x:c r="C34" s="26" t="str">
        <x:v>Bangkok Expressway and Metro PCL.</x:v>
      </x:c>
      <x:c r="D34" s="26" t="str">
        <x:v>Transportation &amp; Logistics</x:v>
      </x:c>
      <x:c r="E34" s="28" t="n">
        <x:v>6.4</x:v>
      </x:c>
      <x:c r="F34" s="28" t="n">
        <x:v>97824</x:v>
      </x:c>
      <x:c r="G34" s="26" t="str">
        <x:v>Completed</x:v>
      </x:c>
      <x:c r="H34" s="26" t="n">
        <x:v>6</x:v>
      </x:c>
      <x:c r="I34" s="26" t="str">
        <x:v>2026-10-12</x:v>
      </x:c>
      <x:c r="J34" s="26" t="str">
        <x:v>1H2026 / Q2 2026</x:v>
      </x:c>
      <x:c r="K34" s="26" t="str">
        <x:v>2026-10-09</x:v>
      </x:c>
      <x:c r="L34" s="26" t="str">
        <x:v>https://www.set.or.th/en/market/product/stock/quote/BEM/factsheet</x:v>
      </x:c>
      <x:c r="M34" s="26" t="str">
        <x:v>https://investor.bemplc.co.th/en/home</x:v>
      </x:c>
      <x:c r="N34" s="26" t="str">
        <x:v>Current</x:v>
      </x:c>
      <x:c r="O34" s="26" t="str">
        <x:v>2026-10-09</x:v>
      </x:c>
      <x:c r="P34" s="26" t="str">
        <x:v>1H2026 / Q2 2026</x:v>
      </x:c>
      <x:c r="Q34" s="26" t="str">
        <x:v>2026-10-12</x:v>
      </x:c>
    </x:row>
    <x:row r="35">
      <x:c r="A35" s="26" t="n">
        <x:v>32</x:v>
      </x:c>
      <x:c r="B35" s="26" t="str">
        <x:v>KCE</x:v>
      </x:c>
      <x:c r="C35" s="26" t="str">
        <x:v>KCE Electronics PCL.</x:v>
      </x:c>
      <x:c r="D35" s="26" t="str">
        <x:v>Electronic Components</x:v>
      </x:c>
      <x:c r="E35" s="28" t="n">
        <x:v>78.75</x:v>
      </x:c>
      <x:c r="F35" s="28" t="n">
        <x:v>93089.48</x:v>
      </x:c>
      <x:c r="G35" s="26" t="str">
        <x:v>Completed</x:v>
      </x:c>
      <x:c r="H35" s="26" t="n">
        <x:v>7</x:v>
      </x:c>
      <x:c r="I35" s="26" t="str">
        <x:v>2026-10-12</x:v>
      </x:c>
      <x:c r="J35" s="26" t="str">
        <x:v>1H2026 / Q2 2026</x:v>
      </x:c>
      <x:c r="K35" s="26" t="str">
        <x:v>2026-10-09</x:v>
      </x:c>
      <x:c r="L35" s="26" t="str">
        <x:v>https://www.set.or.th/en/market/product/stock/quote/KCE/factsheet</x:v>
      </x:c>
      <x:c r="M35" s="26" t="str">
        <x:v>http://www.kcethai.in.th</x:v>
      </x:c>
      <x:c r="N35" s="26" t="str">
        <x:v>Current</x:v>
      </x:c>
      <x:c r="O35" s="26" t="str">
        <x:v>2026-10-09</x:v>
      </x:c>
      <x:c r="P35" s="26" t="str">
        <x:v>1H2026 / Q2 2026</x:v>
      </x:c>
      <x:c r="Q35" s="26" t="str">
        <x:v>2026-10-12</x:v>
      </x:c>
    </x:row>
    <x:row r="36">
      <x:c r="A36" s="26" t="n">
        <x:v>33</x:v>
      </x:c>
      <x:c r="B36" s="26" t="str">
        <x:v>KTC</x:v>
      </x:c>
      <x:c r="C36" s="26" t="str">
        <x:v>Krungthai Card PCL.</x:v>
      </x:c>
      <x:c r="D36" s="26" t="str">
        <x:v>Finance &amp; Securities</x:v>
      </x:c>
      <x:c r="E36" s="28" t="n">
        <x:v>35</x:v>
      </x:c>
      <x:c r="F36" s="28" t="n">
        <x:v>90241.69</x:v>
      </x:c>
      <x:c r="G36" s="26" t="str">
        <x:v>Completed</x:v>
      </x:c>
      <x:c r="H36" s="26" t="n">
        <x:v>7</x:v>
      </x:c>
      <x:c r="I36" s="26" t="str">
        <x:v>2026-10-12</x:v>
      </x:c>
      <x:c r="J36" s="26" t="str">
        <x:v>1H2026 / Q2 2026</x:v>
      </x:c>
      <x:c r="K36" s="26" t="str">
        <x:v>2026-10-09</x:v>
      </x:c>
      <x:c r="L36" s="26" t="str">
        <x:v>https://www.set.or.th/en/market/product/stock/quote/KTC/factsheet</x:v>
      </x:c>
      <x:c r="M36" s="26" t="str">
        <x:v>https://www.ktc.co.th/en/investor-relations</x:v>
      </x:c>
      <x:c r="N36" s="26" t="str">
        <x:v>Current</x:v>
      </x:c>
      <x:c r="O36" s="26" t="str">
        <x:v>2026-10-09</x:v>
      </x:c>
      <x:c r="P36" s="26" t="str">
        <x:v>1H2026 / Q2 2026</x:v>
      </x:c>
      <x:c r="Q36" s="26" t="str">
        <x:v>2026-10-12</x:v>
      </x:c>
    </x:row>
    <x:row r="37">
      <x:c r="A37" s="26" t="n">
        <x:v>34</x:v>
      </x:c>
      <x:c r="B37" s="26" t="str">
        <x:v>HMPRO</x:v>
      </x:c>
      <x:c r="C37" s="26" t="str">
        <x:v>Home Product Center PCL.</x:v>
      </x:c>
      <x:c r="D37" s="26" t="str">
        <x:v>Commerce</x:v>
      </x:c>
      <x:c r="E37" s="28" t="n">
        <x:v>6.4</x:v>
      </x:c>
      <x:c r="F37" s="28" t="n">
        <x:v>84167.67</x:v>
      </x:c>
      <x:c r="G37" s="26" t="str">
        <x:v>Completed</x:v>
      </x:c>
      <x:c r="H37" s="26" t="n">
        <x:v>7</x:v>
      </x:c>
      <x:c r="I37" s="26" t="str">
        <x:v>2026-10-12</x:v>
      </x:c>
      <x:c r="J37" s="26" t="str">
        <x:v>1H2026 / Q2 2026</x:v>
      </x:c>
      <x:c r="K37" s="26" t="str">
        <x:v>2026-10-09</x:v>
      </x:c>
      <x:c r="L37" s="26" t="str">
        <x:v>https://www.set.or.th/en/market/product/stock/quote/HMPRO/factsheet</x:v>
      </x:c>
      <x:c r="M37" s="26" t="str">
        <x:v>https://hmpro.listedcompany.com/</x:v>
      </x:c>
      <x:c r="N37" s="26" t="str">
        <x:v>Current</x:v>
      </x:c>
      <x:c r="O37" s="26" t="str">
        <x:v>2026-10-09</x:v>
      </x:c>
      <x:c r="P37" s="26" t="str">
        <x:v>1H2026 / Q2 2026</x:v>
      </x:c>
      <x:c r="Q37" s="26" t="str">
        <x:v>2026-10-12</x:v>
      </x:c>
    </x:row>
    <x:row r="38">
      <x:c r="A38" s="26" t="n">
        <x:v>35</x:v>
      </x:c>
      <x:c r="B38" s="26" t="str">
        <x:v>RATCH</x:v>
      </x:c>
      <x:c r="C38" s="26" t="str">
        <x:v>Ratch Group PCL.</x:v>
      </x:c>
      <x:c r="D38" s="26" t="str">
        <x:v>Energy &amp; Utilities</x:v>
      </x:c>
      <x:c r="E38" s="28" t="n">
        <x:v>37.75</x:v>
      </x:c>
      <x:c r="F38" s="28" t="n">
        <x:v>82106.25</x:v>
      </x:c>
      <x:c r="G38" s="26" t="str">
        <x:v>Completed</x:v>
      </x:c>
      <x:c r="H38" s="26" t="n">
        <x:v>7</x:v>
      </x:c>
      <x:c r="I38" s="26" t="str">
        <x:v>2026-10-12</x:v>
      </x:c>
      <x:c r="J38" s="26" t="str">
        <x:v>1H2026 / Q2 2026</x:v>
      </x:c>
      <x:c r="K38" s="26" t="str">
        <x:v>2026-10-09</x:v>
      </x:c>
      <x:c r="L38" s="26" t="str">
        <x:v>https://www.set.or.th/en/market/product/stock/quote/RATCH/factsheet</x:v>
      </x:c>
      <x:c r="M38" s="26" t="str">
        <x:v>https://www.ratch.co.th/en/investor-relations/home</x:v>
      </x:c>
      <x:c r="N38" s="26" t="str">
        <x:v>Current</x:v>
      </x:c>
      <x:c r="O38" s="26" t="str">
        <x:v>2026-10-09</x:v>
      </x:c>
      <x:c r="P38" s="26" t="str">
        <x:v>1H2026 / Q2 2026</x:v>
      </x:c>
      <x:c r="Q38" s="26" t="str">
        <x:v>2026-10-12</x:v>
      </x:c>
    </x:row>
    <x:row r="39">
      <x:c r="A39" s="23" t="n">
        <x:v>36</x:v>
      </x:c>
      <x:c r="B39" s="23" t="str"/>
      <x:c r="C39" s="23" t="str"/>
      <x:c r="D39" s="23" t="str"/>
      <x:c r="E39" s="29" t="str"/>
      <x:c r="F39" s="29" t="str"/>
      <x:c r="G39" s="23" t="str">
        <x:v>Pending</x:v>
      </x:c>
      <x:c r="H39" s="23" t="str"/>
      <x:c r="I39" s="23" t="str"/>
      <x:c r="J39" s="23" t="str"/>
      <x:c r="K39" s="23" t="str"/>
      <x:c r="L39" s="23" t="str"/>
      <x:c r="M39" s="23" t="str"/>
      <x:c r="N39" s="23" t="str">
        <x:v>Pending</x:v>
      </x:c>
      <x:c r="O39" s="23" t="str"/>
      <x:c r="P39" s="23" t="str"/>
      <x:c r="Q39" s="23" t="str"/>
    </x:row>
    <x:row r="40">
      <x:c r="A40" s="23" t="n">
        <x:v>37</x:v>
      </x:c>
      <x:c r="B40" s="23" t="str"/>
      <x:c r="C40" s="23" t="str"/>
      <x:c r="D40" s="23" t="str"/>
      <x:c r="E40" s="29" t="str"/>
      <x:c r="F40" s="29" t="str"/>
      <x:c r="G40" s="23" t="str">
        <x:v>Pending</x:v>
      </x:c>
      <x:c r="H40" s="23" t="str"/>
      <x:c r="I40" s="23" t="str"/>
      <x:c r="J40" s="23" t="str"/>
      <x:c r="K40" s="23" t="str"/>
      <x:c r="L40" s="23" t="str"/>
      <x:c r="M40" s="23" t="str"/>
      <x:c r="N40" s="23" t="str">
        <x:v>Pending</x:v>
      </x:c>
      <x:c r="O40" s="23" t="str"/>
      <x:c r="P40" s="23" t="str"/>
      <x:c r="Q40" s="23" t="str"/>
    </x:row>
    <x:row r="41">
      <x:c r="A41" s="23" t="n">
        <x:v>38</x:v>
      </x:c>
      <x:c r="B41" s="23" t="str"/>
      <x:c r="C41" s="23" t="str"/>
      <x:c r="D41" s="23" t="str"/>
      <x:c r="E41" s="29" t="str"/>
      <x:c r="F41" s="29" t="str"/>
      <x:c r="G41" s="23" t="str">
        <x:v>Pending</x:v>
      </x:c>
      <x:c r="H41" s="23" t="str"/>
      <x:c r="I41" s="23" t="str"/>
      <x:c r="J41" s="23" t="str"/>
      <x:c r="K41" s="23" t="str"/>
      <x:c r="L41" s="23" t="str"/>
      <x:c r="M41" s="23" t="str"/>
      <x:c r="N41" s="23" t="str">
        <x:v>Pending</x:v>
      </x:c>
      <x:c r="O41" s="23" t="str"/>
      <x:c r="P41" s="23" t="str"/>
      <x:c r="Q41" s="23" t="str"/>
    </x:row>
    <x:row r="42">
      <x:c r="A42" s="23" t="n">
        <x:v>39</x:v>
      </x:c>
      <x:c r="B42" s="23" t="str"/>
      <x:c r="C42" s="23" t="str"/>
      <x:c r="D42" s="23" t="str"/>
      <x:c r="E42" s="29" t="str"/>
      <x:c r="F42" s="29" t="str"/>
      <x:c r="G42" s="23" t="str">
        <x:v>Pending</x:v>
      </x:c>
      <x:c r="H42" s="23" t="str"/>
      <x:c r="I42" s="23" t="str"/>
      <x:c r="J42" s="23" t="str"/>
      <x:c r="K42" s="23" t="str"/>
      <x:c r="L42" s="23" t="str"/>
      <x:c r="M42" s="23" t="str"/>
      <x:c r="N42" s="23" t="str">
        <x:v>Pending</x:v>
      </x:c>
      <x:c r="O42" s="23" t="str"/>
      <x:c r="P42" s="23" t="str"/>
      <x:c r="Q42" s="23" t="str"/>
    </x:row>
    <x:row r="43">
      <x:c r="A43" s="23" t="n">
        <x:v>40</x:v>
      </x:c>
      <x:c r="B43" s="23" t="str"/>
      <x:c r="C43" s="23" t="str"/>
      <x:c r="D43" s="23" t="str"/>
      <x:c r="E43" s="29" t="str"/>
      <x:c r="F43" s="29" t="str"/>
      <x:c r="G43" s="23" t="str">
        <x:v>Pending</x:v>
      </x:c>
      <x:c r="H43" s="23" t="str"/>
      <x:c r="I43" s="23" t="str"/>
      <x:c r="J43" s="23" t="str"/>
      <x:c r="K43" s="23" t="str"/>
      <x:c r="L43" s="23" t="str"/>
      <x:c r="M43" s="23" t="str"/>
      <x:c r="N43" s="23" t="str">
        <x:v>Pending</x:v>
      </x:c>
      <x:c r="O43" s="23" t="str"/>
      <x:c r="P43" s="23" t="str"/>
      <x:c r="Q43" s="23" t="str"/>
    </x:row>
    <x:row r="44">
      <x:c r="A44" s="23" t="n">
        <x:v>41</x:v>
      </x:c>
      <x:c r="B44" s="23" t="str"/>
      <x:c r="C44" s="23" t="str"/>
      <x:c r="D44" s="23" t="str"/>
      <x:c r="E44" s="29" t="str"/>
      <x:c r="F44" s="29" t="str"/>
      <x:c r="G44" s="23" t="str">
        <x:v>Pending</x:v>
      </x:c>
      <x:c r="H44" s="23" t="str"/>
      <x:c r="I44" s="23" t="str"/>
      <x:c r="J44" s="23" t="str"/>
      <x:c r="K44" s="23" t="str"/>
      <x:c r="L44" s="23" t="str"/>
      <x:c r="M44" s="23" t="str"/>
      <x:c r="N44" s="23" t="str">
        <x:v>Pending</x:v>
      </x:c>
      <x:c r="O44" s="23" t="str"/>
      <x:c r="P44" s="23" t="str"/>
      <x:c r="Q44" s="23" t="str"/>
    </x:row>
    <x:row r="45">
      <x:c r="A45" s="23" t="n">
        <x:v>42</x:v>
      </x:c>
      <x:c r="B45" s="23" t="str"/>
      <x:c r="C45" s="23" t="str"/>
      <x:c r="D45" s="23" t="str"/>
      <x:c r="E45" s="29" t="str"/>
      <x:c r="F45" s="29" t="str"/>
      <x:c r="G45" s="23" t="str">
        <x:v>Pending</x:v>
      </x:c>
      <x:c r="H45" s="23" t="str"/>
      <x:c r="I45" s="23" t="str"/>
      <x:c r="J45" s="23" t="str"/>
      <x:c r="K45" s="23" t="str"/>
      <x:c r="L45" s="23" t="str"/>
      <x:c r="M45" s="23" t="str"/>
      <x:c r="N45" s="23" t="str">
        <x:v>Pending</x:v>
      </x:c>
      <x:c r="O45" s="23" t="str"/>
      <x:c r="P45" s="23" t="str"/>
      <x:c r="Q45" s="23" t="str"/>
    </x:row>
    <x:row r="46">
      <x:c r="A46" s="23" t="n">
        <x:v>43</x:v>
      </x:c>
      <x:c r="B46" s="23" t="str"/>
      <x:c r="C46" s="23" t="str"/>
      <x:c r="D46" s="23" t="str"/>
      <x:c r="E46" s="29" t="str"/>
      <x:c r="F46" s="29" t="str"/>
      <x:c r="G46" s="23" t="str">
        <x:v>Pending</x:v>
      </x:c>
      <x:c r="H46" s="23" t="str"/>
      <x:c r="I46" s="23" t="str"/>
      <x:c r="J46" s="23" t="str"/>
      <x:c r="K46" s="23" t="str"/>
      <x:c r="L46" s="23" t="str"/>
      <x:c r="M46" s="23" t="str"/>
      <x:c r="N46" s="23" t="str">
        <x:v>Pending</x:v>
      </x:c>
      <x:c r="O46" s="23" t="str"/>
      <x:c r="P46" s="23" t="str"/>
      <x:c r="Q46" s="23" t="str"/>
    </x:row>
    <x:row r="47">
      <x:c r="A47" s="23" t="n">
        <x:v>44</x:v>
      </x:c>
      <x:c r="B47" s="23" t="str"/>
      <x:c r="C47" s="23" t="str"/>
      <x:c r="D47" s="23" t="str"/>
      <x:c r="E47" s="29" t="str"/>
      <x:c r="F47" s="29" t="str"/>
      <x:c r="G47" s="23" t="str">
        <x:v>Pending</x:v>
      </x:c>
      <x:c r="H47" s="23" t="str"/>
      <x:c r="I47" s="23" t="str"/>
      <x:c r="J47" s="23" t="str"/>
      <x:c r="K47" s="23" t="str"/>
      <x:c r="L47" s="23" t="str"/>
      <x:c r="M47" s="23" t="str"/>
      <x:c r="N47" s="23" t="str">
        <x:v>Pending</x:v>
      </x:c>
      <x:c r="O47" s="23" t="str"/>
      <x:c r="P47" s="23" t="str"/>
      <x:c r="Q47" s="23" t="str"/>
    </x:row>
    <x:row r="48">
      <x:c r="A48" s="23" t="n">
        <x:v>45</x:v>
      </x:c>
      <x:c r="B48" s="23" t="str"/>
      <x:c r="C48" s="23" t="str"/>
      <x:c r="D48" s="23" t="str"/>
      <x:c r="E48" s="29" t="str"/>
      <x:c r="F48" s="29" t="str"/>
      <x:c r="G48" s="23" t="str">
        <x:v>Pending</x:v>
      </x:c>
      <x:c r="H48" s="23" t="str"/>
      <x:c r="I48" s="23" t="str"/>
      <x:c r="J48" s="23" t="str"/>
      <x:c r="K48" s="23" t="str"/>
      <x:c r="L48" s="23" t="str"/>
      <x:c r="M48" s="23" t="str"/>
      <x:c r="N48" s="23" t="str">
        <x:v>Pending</x:v>
      </x:c>
      <x:c r="O48" s="23" t="str"/>
      <x:c r="P48" s="23" t="str"/>
      <x:c r="Q48" s="23" t="str"/>
    </x:row>
    <x:row r="49">
      <x:c r="A49" s="23" t="n">
        <x:v>46</x:v>
      </x:c>
      <x:c r="B49" s="23" t="str"/>
      <x:c r="C49" s="23" t="str"/>
      <x:c r="D49" s="23" t="str"/>
      <x:c r="E49" s="29" t="str"/>
      <x:c r="F49" s="29" t="str"/>
      <x:c r="G49" s="23" t="str">
        <x:v>Pending</x:v>
      </x:c>
      <x:c r="H49" s="23" t="str"/>
      <x:c r="I49" s="23" t="str"/>
      <x:c r="J49" s="23" t="str"/>
      <x:c r="K49" s="23" t="str"/>
      <x:c r="L49" s="23" t="str"/>
      <x:c r="M49" s="23" t="str"/>
      <x:c r="N49" s="23" t="str">
        <x:v>Pending</x:v>
      </x:c>
      <x:c r="O49" s="23" t="str"/>
      <x:c r="P49" s="23" t="str"/>
      <x:c r="Q49" s="23" t="str"/>
    </x:row>
    <x:row r="50">
      <x:c r="A50" s="23" t="n">
        <x:v>47</x:v>
      </x:c>
      <x:c r="B50" s="23" t="str"/>
      <x:c r="C50" s="23" t="str"/>
      <x:c r="D50" s="23" t="str"/>
      <x:c r="E50" s="29" t="str"/>
      <x:c r="F50" s="29" t="str"/>
      <x:c r="G50" s="23" t="str">
        <x:v>Pending</x:v>
      </x:c>
      <x:c r="H50" s="23" t="str"/>
      <x:c r="I50" s="23" t="str"/>
      <x:c r="J50" s="23" t="str"/>
      <x:c r="K50" s="23" t="str"/>
      <x:c r="L50" s="23" t="str"/>
      <x:c r="M50" s="23" t="str"/>
      <x:c r="N50" s="23" t="str">
        <x:v>Pending</x:v>
      </x:c>
      <x:c r="O50" s="23" t="str"/>
      <x:c r="P50" s="23" t="str"/>
      <x:c r="Q50" s="23" t="str"/>
    </x:row>
    <x:row r="51">
      <x:c r="A51" s="23" t="n">
        <x:v>48</x:v>
      </x:c>
      <x:c r="B51" s="23" t="str"/>
      <x:c r="C51" s="23" t="str"/>
      <x:c r="D51" s="23" t="str"/>
      <x:c r="E51" s="29" t="str"/>
      <x:c r="F51" s="29" t="str"/>
      <x:c r="G51" s="23" t="str">
        <x:v>Pending</x:v>
      </x:c>
      <x:c r="H51" s="23" t="str"/>
      <x:c r="I51" s="23" t="str"/>
      <x:c r="J51" s="23" t="str"/>
      <x:c r="K51" s="23" t="str"/>
      <x:c r="L51" s="23" t="str"/>
      <x:c r="M51" s="23" t="str"/>
      <x:c r="N51" s="23" t="str">
        <x:v>Pending</x:v>
      </x:c>
      <x:c r="O51" s="23" t="str"/>
      <x:c r="P51" s="23" t="str"/>
      <x:c r="Q51" s="23" t="str"/>
    </x:row>
    <x:row r="52">
      <x:c r="A52" s="23" t="n">
        <x:v>49</x:v>
      </x:c>
      <x:c r="B52" s="23" t="str"/>
      <x:c r="C52" s="23" t="str"/>
      <x:c r="D52" s="23" t="str"/>
      <x:c r="E52" s="29" t="str"/>
      <x:c r="F52" s="29" t="str"/>
      <x:c r="G52" s="23" t="str">
        <x:v>Pending</x:v>
      </x:c>
      <x:c r="H52" s="23" t="str"/>
      <x:c r="I52" s="23" t="str"/>
      <x:c r="J52" s="23" t="str"/>
      <x:c r="K52" s="23" t="str"/>
      <x:c r="L52" s="23" t="str"/>
      <x:c r="M52" s="23" t="str"/>
      <x:c r="N52" s="23" t="str">
        <x:v>Pending</x:v>
      </x:c>
      <x:c r="O52" s="23" t="str"/>
      <x:c r="P52" s="23" t="str"/>
      <x:c r="Q52" s="23" t="str"/>
    </x:row>
    <x:row r="53">
      <x:c r="A53" s="23" t="n">
        <x:v>50</x:v>
      </x:c>
      <x:c r="B53" s="23" t="str"/>
      <x:c r="C53" s="23" t="str"/>
      <x:c r="D53" s="23" t="str"/>
      <x:c r="E53" s="29" t="str"/>
      <x:c r="F53" s="29" t="str"/>
      <x:c r="G53" s="23" t="str">
        <x:v>Pending</x:v>
      </x:c>
      <x:c r="H53" s="23" t="str"/>
      <x:c r="I53" s="23" t="str"/>
      <x:c r="J53" s="23" t="str"/>
      <x:c r="K53" s="23" t="str"/>
      <x:c r="L53" s="23" t="str"/>
      <x:c r="M53" s="23" t="str"/>
      <x:c r="N53" s="23" t="str">
        <x:v>Pending</x:v>
      </x:c>
      <x:c r="O53" s="23" t="str"/>
      <x:c r="P53" s="23" t="str"/>
      <x:c r="Q53" s="23" t="str"/>
    </x:row>
    <x:row r="54">
      <x:c r="A54" s="23" t="n">
        <x:v>51</x:v>
      </x:c>
      <x:c r="B54" s="23" t="str"/>
      <x:c r="C54" s="23" t="str"/>
      <x:c r="D54" s="23" t="str"/>
      <x:c r="E54" s="29" t="str"/>
      <x:c r="F54" s="29" t="str"/>
      <x:c r="G54" s="23" t="str">
        <x:v>Pending</x:v>
      </x:c>
      <x:c r="H54" s="23" t="str"/>
      <x:c r="I54" s="23" t="str"/>
      <x:c r="J54" s="23" t="str"/>
      <x:c r="K54" s="23" t="str"/>
      <x:c r="L54" s="23" t="str"/>
      <x:c r="M54" s="23" t="str"/>
      <x:c r="N54" s="23" t="str">
        <x:v>Pending</x:v>
      </x:c>
      <x:c r="O54" s="23" t="str"/>
      <x:c r="P54" s="23" t="str"/>
      <x:c r="Q54" s="23" t="str"/>
    </x:row>
    <x:row r="55">
      <x:c r="A55" s="23" t="n">
        <x:v>52</x:v>
      </x:c>
      <x:c r="B55" s="23" t="str"/>
      <x:c r="C55" s="23" t="str"/>
      <x:c r="D55" s="23" t="str"/>
      <x:c r="E55" s="29" t="str"/>
      <x:c r="F55" s="29" t="str"/>
      <x:c r="G55" s="23" t="str">
        <x:v>Pending</x:v>
      </x:c>
      <x:c r="H55" s="23" t="str"/>
      <x:c r="I55" s="23" t="str"/>
      <x:c r="J55" s="23" t="str"/>
      <x:c r="K55" s="23" t="str"/>
      <x:c r="L55" s="23" t="str"/>
      <x:c r="M55" s="23" t="str"/>
      <x:c r="N55" s="23" t="str">
        <x:v>Pending</x:v>
      </x:c>
      <x:c r="O55" s="23" t="str"/>
      <x:c r="P55" s="23" t="str"/>
      <x:c r="Q55" s="23" t="str"/>
    </x:row>
    <x:row r="56">
      <x:c r="A56" s="23" t="n">
        <x:v>53</x:v>
      </x:c>
      <x:c r="B56" s="23" t="str"/>
      <x:c r="C56" s="23" t="str"/>
      <x:c r="D56" s="23" t="str"/>
      <x:c r="E56" s="29" t="str"/>
      <x:c r="F56" s="29" t="str"/>
      <x:c r="G56" s="23" t="str">
        <x:v>Pending</x:v>
      </x:c>
      <x:c r="H56" s="23" t="str"/>
      <x:c r="I56" s="23" t="str"/>
      <x:c r="J56" s="23" t="str"/>
      <x:c r="K56" s="23" t="str"/>
      <x:c r="L56" s="23" t="str"/>
      <x:c r="M56" s="23" t="str"/>
      <x:c r="N56" s="23" t="str">
        <x:v>Pending</x:v>
      </x:c>
      <x:c r="O56" s="23" t="str"/>
      <x:c r="P56" s="23" t="str"/>
      <x:c r="Q56" s="23" t="str"/>
    </x:row>
    <x:row r="57">
      <x:c r="A57" s="23" t="n">
        <x:v>54</x:v>
      </x:c>
      <x:c r="B57" s="23" t="str"/>
      <x:c r="C57" s="23" t="str"/>
      <x:c r="D57" s="23" t="str"/>
      <x:c r="E57" s="29" t="str"/>
      <x:c r="F57" s="29" t="str"/>
      <x:c r="G57" s="23" t="str">
        <x:v>Pending</x:v>
      </x:c>
      <x:c r="H57" s="23" t="str"/>
      <x:c r="I57" s="23" t="str"/>
      <x:c r="J57" s="23" t="str"/>
      <x:c r="K57" s="23" t="str"/>
      <x:c r="L57" s="23" t="str"/>
      <x:c r="M57" s="23" t="str"/>
      <x:c r="N57" s="23" t="str">
        <x:v>Pending</x:v>
      </x:c>
      <x:c r="O57" s="23" t="str"/>
      <x:c r="P57" s="23" t="str"/>
      <x:c r="Q57" s="23" t="str"/>
    </x:row>
    <x:row r="58">
      <x:c r="A58" s="23" t="n">
        <x:v>55</x:v>
      </x:c>
      <x:c r="B58" s="23" t="str"/>
      <x:c r="C58" s="23" t="str"/>
      <x:c r="D58" s="23" t="str"/>
      <x:c r="E58" s="29" t="str"/>
      <x:c r="F58" s="29" t="str"/>
      <x:c r="G58" s="23" t="str">
        <x:v>Pending</x:v>
      </x:c>
      <x:c r="H58" s="23" t="str"/>
      <x:c r="I58" s="23" t="str"/>
      <x:c r="J58" s="23" t="str"/>
      <x:c r="K58" s="23" t="str"/>
      <x:c r="L58" s="23" t="str"/>
      <x:c r="M58" s="23" t="str"/>
      <x:c r="N58" s="23" t="str">
        <x:v>Pending</x:v>
      </x:c>
      <x:c r="O58" s="23" t="str"/>
      <x:c r="P58" s="23" t="str"/>
      <x:c r="Q58" s="23" t="str"/>
    </x:row>
    <x:row r="59">
      <x:c r="A59" s="23" t="n">
        <x:v>56</x:v>
      </x:c>
      <x:c r="B59" s="23" t="str"/>
      <x:c r="C59" s="23" t="str"/>
      <x:c r="D59" s="23" t="str"/>
      <x:c r="E59" s="29" t="str"/>
      <x:c r="F59" s="29" t="str"/>
      <x:c r="G59" s="23" t="str">
        <x:v>Pending</x:v>
      </x:c>
      <x:c r="H59" s="23" t="str"/>
      <x:c r="I59" s="23" t="str"/>
      <x:c r="J59" s="23" t="str"/>
      <x:c r="K59" s="23" t="str"/>
      <x:c r="L59" s="23" t="str"/>
      <x:c r="M59" s="23" t="str"/>
      <x:c r="N59" s="23" t="str">
        <x:v>Pending</x:v>
      </x:c>
      <x:c r="O59" s="23" t="str"/>
      <x:c r="P59" s="23" t="str"/>
      <x:c r="Q59" s="23" t="str"/>
    </x:row>
    <x:row r="60">
      <x:c r="A60" s="23" t="n">
        <x:v>57</x:v>
      </x:c>
      <x:c r="B60" s="23" t="str"/>
      <x:c r="C60" s="23" t="str"/>
      <x:c r="D60" s="23" t="str"/>
      <x:c r="E60" s="29" t="str"/>
      <x:c r="F60" s="29" t="str"/>
      <x:c r="G60" s="23" t="str">
        <x:v>Pending</x:v>
      </x:c>
      <x:c r="H60" s="23" t="str"/>
      <x:c r="I60" s="23" t="str"/>
      <x:c r="J60" s="23" t="str"/>
      <x:c r="K60" s="23" t="str"/>
      <x:c r="L60" s="23" t="str"/>
      <x:c r="M60" s="23" t="str"/>
      <x:c r="N60" s="23" t="str">
        <x:v>Pending</x:v>
      </x:c>
      <x:c r="O60" s="23" t="str"/>
      <x:c r="P60" s="23" t="str"/>
      <x:c r="Q60" s="23" t="str"/>
    </x:row>
    <x:row r="61">
      <x:c r="A61" s="23" t="n">
        <x:v>58</x:v>
      </x:c>
      <x:c r="B61" s="23" t="str"/>
      <x:c r="C61" s="23" t="str"/>
      <x:c r="D61" s="23" t="str"/>
      <x:c r="E61" s="29" t="str"/>
      <x:c r="F61" s="29" t="str"/>
      <x:c r="G61" s="23" t="str">
        <x:v>Pending</x:v>
      </x:c>
      <x:c r="H61" s="23" t="str"/>
      <x:c r="I61" s="23" t="str"/>
      <x:c r="J61" s="23" t="str"/>
      <x:c r="K61" s="23" t="str"/>
      <x:c r="L61" s="23" t="str"/>
      <x:c r="M61" s="23" t="str"/>
      <x:c r="N61" s="23" t="str">
        <x:v>Pending</x:v>
      </x:c>
      <x:c r="O61" s="23" t="str"/>
      <x:c r="P61" s="23" t="str"/>
      <x:c r="Q61" s="23" t="str"/>
    </x:row>
    <x:row r="62">
      <x:c r="A62" s="23" t="n">
        <x:v>59</x:v>
      </x:c>
      <x:c r="B62" s="23" t="str"/>
      <x:c r="C62" s="23" t="str"/>
      <x:c r="D62" s="23" t="str"/>
      <x:c r="E62" s="29" t="str"/>
      <x:c r="F62" s="29" t="str"/>
      <x:c r="G62" s="23" t="str">
        <x:v>Pending</x:v>
      </x:c>
      <x:c r="H62" s="23" t="str"/>
      <x:c r="I62" s="23" t="str"/>
      <x:c r="J62" s="23" t="str"/>
      <x:c r="K62" s="23" t="str"/>
      <x:c r="L62" s="23" t="str"/>
      <x:c r="M62" s="23" t="str"/>
      <x:c r="N62" s="23" t="str">
        <x:v>Pending</x:v>
      </x:c>
      <x:c r="O62" s="23" t="str"/>
      <x:c r="P62" s="23" t="str"/>
      <x:c r="Q62" s="23" t="str"/>
    </x:row>
    <x:row r="63">
      <x:c r="A63" s="23" t="n">
        <x:v>60</x:v>
      </x:c>
      <x:c r="B63" s="23" t="str"/>
      <x:c r="C63" s="23" t="str"/>
      <x:c r="D63" s="23" t="str"/>
      <x:c r="E63" s="29" t="str"/>
      <x:c r="F63" s="29" t="str"/>
      <x:c r="G63" s="23" t="str">
        <x:v>Pending</x:v>
      </x:c>
      <x:c r="H63" s="23" t="str"/>
      <x:c r="I63" s="23" t="str"/>
      <x:c r="J63" s="23" t="str"/>
      <x:c r="K63" s="23" t="str"/>
      <x:c r="L63" s="23" t="str"/>
      <x:c r="M63" s="23" t="str"/>
      <x:c r="N63" s="23" t="str">
        <x:v>Pending</x:v>
      </x:c>
      <x:c r="O63" s="23" t="str"/>
      <x:c r="P63" s="23" t="str"/>
      <x:c r="Q63" s="23" t="str"/>
    </x:row>
    <x:row r="64">
      <x:c r="A64" s="23" t="n">
        <x:v>61</x:v>
      </x:c>
      <x:c r="B64" s="23" t="str"/>
      <x:c r="C64" s="23" t="str"/>
      <x:c r="D64" s="23" t="str"/>
      <x:c r="E64" s="29" t="str"/>
      <x:c r="F64" s="29" t="str"/>
      <x:c r="G64" s="23" t="str">
        <x:v>Pending</x:v>
      </x:c>
      <x:c r="H64" s="23" t="str"/>
      <x:c r="I64" s="23" t="str"/>
      <x:c r="J64" s="23" t="str"/>
      <x:c r="K64" s="23" t="str"/>
      <x:c r="L64" s="23" t="str"/>
      <x:c r="M64" s="23" t="str"/>
      <x:c r="N64" s="23" t="str">
        <x:v>Pending</x:v>
      </x:c>
      <x:c r="O64" s="23" t="str"/>
      <x:c r="P64" s="23" t="str"/>
      <x:c r="Q64" s="23" t="str"/>
    </x:row>
    <x:row r="65">
      <x:c r="A65" s="23" t="n">
        <x:v>62</x:v>
      </x:c>
      <x:c r="B65" s="23" t="str"/>
      <x:c r="C65" s="23" t="str"/>
      <x:c r="D65" s="23" t="str"/>
      <x:c r="E65" s="29" t="str"/>
      <x:c r="F65" s="29" t="str"/>
      <x:c r="G65" s="23" t="str">
        <x:v>Pending</x:v>
      </x:c>
      <x:c r="H65" s="23" t="str"/>
      <x:c r="I65" s="23" t="str"/>
      <x:c r="J65" s="23" t="str"/>
      <x:c r="K65" s="23" t="str"/>
      <x:c r="L65" s="23" t="str"/>
      <x:c r="M65" s="23" t="str"/>
      <x:c r="N65" s="23" t="str">
        <x:v>Pending</x:v>
      </x:c>
      <x:c r="O65" s="23" t="str"/>
      <x:c r="P65" s="23" t="str"/>
      <x:c r="Q65" s="23" t="str"/>
    </x:row>
    <x:row r="66">
      <x:c r="A66" s="23" t="n">
        <x:v>63</x:v>
      </x:c>
      <x:c r="B66" s="23" t="str"/>
      <x:c r="C66" s="23" t="str"/>
      <x:c r="D66" s="23" t="str"/>
      <x:c r="E66" s="29" t="str"/>
      <x:c r="F66" s="29" t="str"/>
      <x:c r="G66" s="23" t="str">
        <x:v>Pending</x:v>
      </x:c>
      <x:c r="H66" s="23" t="str"/>
      <x:c r="I66" s="23" t="str"/>
      <x:c r="J66" s="23" t="str"/>
      <x:c r="K66" s="23" t="str"/>
      <x:c r="L66" s="23" t="str"/>
      <x:c r="M66" s="23" t="str"/>
      <x:c r="N66" s="23" t="str">
        <x:v>Pending</x:v>
      </x:c>
      <x:c r="O66" s="23" t="str"/>
      <x:c r="P66" s="23" t="str"/>
      <x:c r="Q66" s="23" t="str"/>
    </x:row>
    <x:row r="67">
      <x:c r="A67" s="23" t="n">
        <x:v>64</x:v>
      </x:c>
      <x:c r="B67" s="23" t="str"/>
      <x:c r="C67" s="23" t="str"/>
      <x:c r="D67" s="23" t="str"/>
      <x:c r="E67" s="29" t="str"/>
      <x:c r="F67" s="29" t="str"/>
      <x:c r="G67" s="23" t="str">
        <x:v>Pending</x:v>
      </x:c>
      <x:c r="H67" s="23" t="str"/>
      <x:c r="I67" s="23" t="str"/>
      <x:c r="J67" s="23" t="str"/>
      <x:c r="K67" s="23" t="str"/>
      <x:c r="L67" s="23" t="str"/>
      <x:c r="M67" s="23" t="str"/>
      <x:c r="N67" s="23" t="str">
        <x:v>Pending</x:v>
      </x:c>
      <x:c r="O67" s="23" t="str"/>
      <x:c r="P67" s="23" t="str"/>
      <x:c r="Q67" s="23" t="str"/>
    </x:row>
    <x:row r="68">
      <x:c r="A68" s="23" t="n">
        <x:v>65</x:v>
      </x:c>
      <x:c r="B68" s="23" t="str"/>
      <x:c r="C68" s="23" t="str"/>
      <x:c r="D68" s="23" t="str"/>
      <x:c r="E68" s="29" t="str"/>
      <x:c r="F68" s="29" t="str"/>
      <x:c r="G68" s="23" t="str">
        <x:v>Pending</x:v>
      </x:c>
      <x:c r="H68" s="23" t="str"/>
      <x:c r="I68" s="23" t="str"/>
      <x:c r="J68" s="23" t="str"/>
      <x:c r="K68" s="23" t="str"/>
      <x:c r="L68" s="23" t="str"/>
      <x:c r="M68" s="23" t="str"/>
      <x:c r="N68" s="23" t="str">
        <x:v>Pending</x:v>
      </x:c>
      <x:c r="O68" s="23" t="str"/>
      <x:c r="P68" s="23" t="str"/>
      <x:c r="Q68" s="23" t="str"/>
    </x:row>
    <x:row r="69">
      <x:c r="A69" s="23" t="n">
        <x:v>66</x:v>
      </x:c>
      <x:c r="B69" s="23" t="str"/>
      <x:c r="C69" s="23" t="str"/>
      <x:c r="D69" s="23" t="str"/>
      <x:c r="E69" s="29" t="str"/>
      <x:c r="F69" s="29" t="str"/>
      <x:c r="G69" s="23" t="str">
        <x:v>Pending</x:v>
      </x:c>
      <x:c r="H69" s="23" t="str"/>
      <x:c r="I69" s="23" t="str"/>
      <x:c r="J69" s="23" t="str"/>
      <x:c r="K69" s="23" t="str"/>
      <x:c r="L69" s="23" t="str"/>
      <x:c r="M69" s="23" t="str"/>
      <x:c r="N69" s="23" t="str">
        <x:v>Pending</x:v>
      </x:c>
      <x:c r="O69" s="23" t="str"/>
      <x:c r="P69" s="23" t="str"/>
      <x:c r="Q69" s="23" t="str"/>
    </x:row>
    <x:row r="70">
      <x:c r="A70" s="23" t="n">
        <x:v>67</x:v>
      </x:c>
      <x:c r="B70" s="23" t="str"/>
      <x:c r="C70" s="23" t="str"/>
      <x:c r="D70" s="23" t="str"/>
      <x:c r="E70" s="29" t="str"/>
      <x:c r="F70" s="29" t="str"/>
      <x:c r="G70" s="23" t="str">
        <x:v>Pending</x:v>
      </x:c>
      <x:c r="H70" s="23" t="str"/>
      <x:c r="I70" s="23" t="str"/>
      <x:c r="J70" s="23" t="str"/>
      <x:c r="K70" s="23" t="str"/>
      <x:c r="L70" s="23" t="str"/>
      <x:c r="M70" s="23" t="str"/>
      <x:c r="N70" s="23" t="str">
        <x:v>Pending</x:v>
      </x:c>
      <x:c r="O70" s="23" t="str"/>
      <x:c r="P70" s="23" t="str"/>
      <x:c r="Q70" s="23" t="str"/>
    </x:row>
    <x:row r="71">
      <x:c r="A71" s="23" t="n">
        <x:v>68</x:v>
      </x:c>
      <x:c r="B71" s="23" t="str"/>
      <x:c r="C71" s="23" t="str"/>
      <x:c r="D71" s="23" t="str"/>
      <x:c r="E71" s="29" t="str"/>
      <x:c r="F71" s="29" t="str"/>
      <x:c r="G71" s="23" t="str">
        <x:v>Pending</x:v>
      </x:c>
      <x:c r="H71" s="23" t="str"/>
      <x:c r="I71" s="23" t="str"/>
      <x:c r="J71" s="23" t="str"/>
      <x:c r="K71" s="23" t="str"/>
      <x:c r="L71" s="23" t="str"/>
      <x:c r="M71" s="23" t="str"/>
      <x:c r="N71" s="23" t="str">
        <x:v>Pending</x:v>
      </x:c>
      <x:c r="O71" s="23" t="str"/>
      <x:c r="P71" s="23" t="str"/>
      <x:c r="Q71" s="23" t="str"/>
    </x:row>
    <x:row r="72">
      <x:c r="A72" s="23" t="n">
        <x:v>69</x:v>
      </x:c>
      <x:c r="B72" s="23" t="str"/>
      <x:c r="C72" s="23" t="str"/>
      <x:c r="D72" s="23" t="str"/>
      <x:c r="E72" s="29" t="str"/>
      <x:c r="F72" s="29" t="str"/>
      <x:c r="G72" s="23" t="str">
        <x:v>Pending</x:v>
      </x:c>
      <x:c r="H72" s="23" t="str"/>
      <x:c r="I72" s="23" t="str"/>
      <x:c r="J72" s="23" t="str"/>
      <x:c r="K72" s="23" t="str"/>
      <x:c r="L72" s="23" t="str"/>
      <x:c r="M72" s="23" t="str"/>
      <x:c r="N72" s="23" t="str">
        <x:v>Pending</x:v>
      </x:c>
      <x:c r="O72" s="23" t="str"/>
      <x:c r="P72" s="23" t="str"/>
      <x:c r="Q72" s="23" t="str"/>
    </x:row>
    <x:row r="73">
      <x:c r="A73" s="23" t="n">
        <x:v>70</x:v>
      </x:c>
      <x:c r="B73" s="23" t="str"/>
      <x:c r="C73" s="23" t="str"/>
      <x:c r="D73" s="23" t="str"/>
      <x:c r="E73" s="29" t="str"/>
      <x:c r="F73" s="29" t="str"/>
      <x:c r="G73" s="23" t="str">
        <x:v>Pending</x:v>
      </x:c>
      <x:c r="H73" s="23" t="str"/>
      <x:c r="I73" s="23" t="str"/>
      <x:c r="J73" s="23" t="str"/>
      <x:c r="K73" s="23" t="str"/>
      <x:c r="L73" s="23" t="str"/>
      <x:c r="M73" s="23" t="str"/>
      <x:c r="N73" s="23" t="str">
        <x:v>Pending</x:v>
      </x:c>
      <x:c r="O73" s="23" t="str"/>
      <x:c r="P73" s="23" t="str"/>
      <x:c r="Q73" s="23" t="str"/>
    </x:row>
    <x:row r="74">
      <x:c r="A74" s="23" t="n">
        <x:v>71</x:v>
      </x:c>
      <x:c r="B74" s="23" t="str"/>
      <x:c r="C74" s="23" t="str"/>
      <x:c r="D74" s="23" t="str"/>
      <x:c r="E74" s="29" t="str"/>
      <x:c r="F74" s="29" t="str"/>
      <x:c r="G74" s="23" t="str">
        <x:v>Pending</x:v>
      </x:c>
      <x:c r="H74" s="23" t="str"/>
      <x:c r="I74" s="23" t="str"/>
      <x:c r="J74" s="23" t="str"/>
      <x:c r="K74" s="23" t="str"/>
      <x:c r="L74" s="23" t="str"/>
      <x:c r="M74" s="23" t="str"/>
      <x:c r="N74" s="23" t="str">
        <x:v>Pending</x:v>
      </x:c>
      <x:c r="O74" s="23" t="str"/>
      <x:c r="P74" s="23" t="str"/>
      <x:c r="Q74" s="23" t="str"/>
    </x:row>
    <x:row r="75">
      <x:c r="A75" s="23" t="n">
        <x:v>72</x:v>
      </x:c>
      <x:c r="B75" s="23" t="str"/>
      <x:c r="C75" s="23" t="str"/>
      <x:c r="D75" s="23" t="str"/>
      <x:c r="E75" s="29" t="str"/>
      <x:c r="F75" s="29" t="str"/>
      <x:c r="G75" s="23" t="str">
        <x:v>Pending</x:v>
      </x:c>
      <x:c r="H75" s="23" t="str"/>
      <x:c r="I75" s="23" t="str"/>
      <x:c r="J75" s="23" t="str"/>
      <x:c r="K75" s="23" t="str"/>
      <x:c r="L75" s="23" t="str"/>
      <x:c r="M75" s="23" t="str"/>
      <x:c r="N75" s="23" t="str">
        <x:v>Pending</x:v>
      </x:c>
      <x:c r="O75" s="23" t="str"/>
      <x:c r="P75" s="23" t="str"/>
      <x:c r="Q75" s="23" t="str"/>
    </x:row>
    <x:row r="76">
      <x:c r="A76" s="23" t="n">
        <x:v>73</x:v>
      </x:c>
      <x:c r="B76" s="23" t="str"/>
      <x:c r="C76" s="23" t="str"/>
      <x:c r="D76" s="23" t="str"/>
      <x:c r="E76" s="29" t="str"/>
      <x:c r="F76" s="29" t="str"/>
      <x:c r="G76" s="23" t="str">
        <x:v>Pending</x:v>
      </x:c>
      <x:c r="H76" s="23" t="str"/>
      <x:c r="I76" s="23" t="str"/>
      <x:c r="J76" s="23" t="str"/>
      <x:c r="K76" s="23" t="str"/>
      <x:c r="L76" s="23" t="str"/>
      <x:c r="M76" s="23" t="str"/>
      <x:c r="N76" s="23" t="str">
        <x:v>Pending</x:v>
      </x:c>
      <x:c r="O76" s="23" t="str"/>
      <x:c r="P76" s="23" t="str"/>
      <x:c r="Q76" s="23" t="str"/>
    </x:row>
    <x:row r="77">
      <x:c r="A77" s="23" t="n">
        <x:v>74</x:v>
      </x:c>
      <x:c r="B77" s="23" t="str"/>
      <x:c r="C77" s="23" t="str"/>
      <x:c r="D77" s="23" t="str"/>
      <x:c r="E77" s="29" t="str"/>
      <x:c r="F77" s="29" t="str"/>
      <x:c r="G77" s="23" t="str">
        <x:v>Pending</x:v>
      </x:c>
      <x:c r="H77" s="23" t="str"/>
      <x:c r="I77" s="23" t="str"/>
      <x:c r="J77" s="23" t="str"/>
      <x:c r="K77" s="23" t="str"/>
      <x:c r="L77" s="23" t="str"/>
      <x:c r="M77" s="23" t="str"/>
      <x:c r="N77" s="23" t="str">
        <x:v>Pending</x:v>
      </x:c>
      <x:c r="O77" s="23" t="str"/>
      <x:c r="P77" s="23" t="str"/>
      <x:c r="Q77" s="23" t="str"/>
    </x:row>
    <x:row r="78">
      <x:c r="A78" s="23" t="n">
        <x:v>75</x:v>
      </x:c>
      <x:c r="B78" s="23" t="str"/>
      <x:c r="C78" s="23" t="str"/>
      <x:c r="D78" s="23" t="str"/>
      <x:c r="E78" s="29" t="str"/>
      <x:c r="F78" s="29" t="str"/>
      <x:c r="G78" s="23" t="str">
        <x:v>Pending</x:v>
      </x:c>
      <x:c r="H78" s="23" t="str"/>
      <x:c r="I78" s="23" t="str"/>
      <x:c r="J78" s="23" t="str"/>
      <x:c r="K78" s="23" t="str"/>
      <x:c r="L78" s="23" t="str"/>
      <x:c r="M78" s="23" t="str"/>
      <x:c r="N78" s="23" t="str">
        <x:v>Pending</x:v>
      </x:c>
      <x:c r="O78" s="23" t="str"/>
      <x:c r="P78" s="23" t="str"/>
      <x:c r="Q78" s="23" t="str"/>
    </x:row>
    <x:row r="79">
      <x:c r="A79" s="23" t="n">
        <x:v>76</x:v>
      </x:c>
      <x:c r="B79" s="23" t="str"/>
      <x:c r="C79" s="23" t="str"/>
      <x:c r="D79" s="23" t="str"/>
      <x:c r="E79" s="29" t="str"/>
      <x:c r="F79" s="29" t="str"/>
      <x:c r="G79" s="23" t="str">
        <x:v>Pending</x:v>
      </x:c>
      <x:c r="H79" s="23" t="str"/>
      <x:c r="I79" s="23" t="str"/>
      <x:c r="J79" s="23" t="str"/>
      <x:c r="K79" s="23" t="str"/>
      <x:c r="L79" s="23" t="str"/>
      <x:c r="M79" s="23" t="str"/>
      <x:c r="N79" s="23" t="str">
        <x:v>Pending</x:v>
      </x:c>
      <x:c r="O79" s="23" t="str"/>
      <x:c r="P79" s="23" t="str"/>
      <x:c r="Q79" s="23" t="str"/>
    </x:row>
    <x:row r="80">
      <x:c r="A80" s="23" t="n">
        <x:v>77</x:v>
      </x:c>
      <x:c r="B80" s="23" t="str"/>
      <x:c r="C80" s="23" t="str"/>
      <x:c r="D80" s="23" t="str"/>
      <x:c r="E80" s="29" t="str"/>
      <x:c r="F80" s="29" t="str"/>
      <x:c r="G80" s="23" t="str">
        <x:v>Pending</x:v>
      </x:c>
      <x:c r="H80" s="23" t="str"/>
      <x:c r="I80" s="23" t="str"/>
      <x:c r="J80" s="23" t="str"/>
      <x:c r="K80" s="23" t="str"/>
      <x:c r="L80" s="23" t="str"/>
      <x:c r="M80" s="23" t="str"/>
      <x:c r="N80" s="23" t="str">
        <x:v>Pending</x:v>
      </x:c>
      <x:c r="O80" s="23" t="str"/>
      <x:c r="P80" s="23" t="str"/>
      <x:c r="Q80" s="23" t="str"/>
    </x:row>
    <x:row r="81">
      <x:c r="A81" s="23" t="n">
        <x:v>78</x:v>
      </x:c>
      <x:c r="B81" s="23" t="str"/>
      <x:c r="C81" s="23" t="str"/>
      <x:c r="D81" s="23" t="str"/>
      <x:c r="E81" s="29" t="str"/>
      <x:c r="F81" s="29" t="str"/>
      <x:c r="G81" s="23" t="str">
        <x:v>Pending</x:v>
      </x:c>
      <x:c r="H81" s="23" t="str"/>
      <x:c r="I81" s="23" t="str"/>
      <x:c r="J81" s="23" t="str"/>
      <x:c r="K81" s="23" t="str"/>
      <x:c r="L81" s="23" t="str"/>
      <x:c r="M81" s="23" t="str"/>
      <x:c r="N81" s="23" t="str">
        <x:v>Pending</x:v>
      </x:c>
      <x:c r="O81" s="23" t="str"/>
      <x:c r="P81" s="23" t="str"/>
      <x:c r="Q81" s="23" t="str"/>
    </x:row>
    <x:row r="82">
      <x:c r="A82" s="23" t="n">
        <x:v>79</x:v>
      </x:c>
      <x:c r="B82" s="23" t="str"/>
      <x:c r="C82" s="23" t="str"/>
      <x:c r="D82" s="23" t="str"/>
      <x:c r="E82" s="29" t="str"/>
      <x:c r="F82" s="29" t="str"/>
      <x:c r="G82" s="23" t="str">
        <x:v>Pending</x:v>
      </x:c>
      <x:c r="H82" s="23" t="str"/>
      <x:c r="I82" s="23" t="str"/>
      <x:c r="J82" s="23" t="str"/>
      <x:c r="K82" s="23" t="str"/>
      <x:c r="L82" s="23" t="str"/>
      <x:c r="M82" s="23" t="str"/>
      <x:c r="N82" s="23" t="str">
        <x:v>Pending</x:v>
      </x:c>
      <x:c r="O82" s="23" t="str"/>
      <x:c r="P82" s="23" t="str"/>
      <x:c r="Q82" s="23" t="str"/>
    </x:row>
    <x:row r="83">
      <x:c r="A83" s="23" t="n">
        <x:v>80</x:v>
      </x:c>
      <x:c r="B83" s="23" t="str"/>
      <x:c r="C83" s="23" t="str"/>
      <x:c r="D83" s="23" t="str"/>
      <x:c r="E83" s="29" t="str"/>
      <x:c r="F83" s="29" t="str"/>
      <x:c r="G83" s="23" t="str">
        <x:v>Pending</x:v>
      </x:c>
      <x:c r="H83" s="23" t="str"/>
      <x:c r="I83" s="23" t="str"/>
      <x:c r="J83" s="23" t="str"/>
      <x:c r="K83" s="23" t="str"/>
      <x:c r="L83" s="23" t="str"/>
      <x:c r="M83" s="23" t="str"/>
      <x:c r="N83" s="23" t="str">
        <x:v>Pending</x:v>
      </x:c>
      <x:c r="O83" s="23" t="str"/>
      <x:c r="P83" s="23" t="str"/>
      <x:c r="Q83" s="23" t="str"/>
    </x:row>
    <x:row r="84">
      <x:c r="A84" s="23" t="n">
        <x:v>81</x:v>
      </x:c>
      <x:c r="B84" s="23" t="str"/>
      <x:c r="C84" s="23" t="str"/>
      <x:c r="D84" s="23" t="str"/>
      <x:c r="E84" s="29" t="str"/>
      <x:c r="F84" s="29" t="str"/>
      <x:c r="G84" s="23" t="str">
        <x:v>Pending</x:v>
      </x:c>
      <x:c r="H84" s="23" t="str"/>
      <x:c r="I84" s="23" t="str"/>
      <x:c r="J84" s="23" t="str"/>
      <x:c r="K84" s="23" t="str"/>
      <x:c r="L84" s="23" t="str"/>
      <x:c r="M84" s="23" t="str"/>
      <x:c r="N84" s="23" t="str">
        <x:v>Pending</x:v>
      </x:c>
      <x:c r="O84" s="23" t="str"/>
      <x:c r="P84" s="23" t="str"/>
      <x:c r="Q84" s="23" t="str"/>
    </x:row>
    <x:row r="85">
      <x:c r="A85" s="23" t="n">
        <x:v>82</x:v>
      </x:c>
      <x:c r="B85" s="23" t="str"/>
      <x:c r="C85" s="23" t="str"/>
      <x:c r="D85" s="23" t="str"/>
      <x:c r="E85" s="29" t="str"/>
      <x:c r="F85" s="29" t="str"/>
      <x:c r="G85" s="23" t="str">
        <x:v>Pending</x:v>
      </x:c>
      <x:c r="H85" s="23" t="str"/>
      <x:c r="I85" s="23" t="str"/>
      <x:c r="J85" s="23" t="str"/>
      <x:c r="K85" s="23" t="str"/>
      <x:c r="L85" s="23" t="str"/>
      <x:c r="M85" s="23" t="str"/>
      <x:c r="N85" s="23" t="str">
        <x:v>Pending</x:v>
      </x:c>
      <x:c r="O85" s="23" t="str"/>
      <x:c r="P85" s="23" t="str"/>
      <x:c r="Q85" s="23" t="str"/>
    </x:row>
    <x:row r="86">
      <x:c r="A86" s="23" t="n">
        <x:v>83</x:v>
      </x:c>
      <x:c r="B86" s="23" t="str"/>
      <x:c r="C86" s="23" t="str"/>
      <x:c r="D86" s="23" t="str"/>
      <x:c r="E86" s="29" t="str"/>
      <x:c r="F86" s="29" t="str"/>
      <x:c r="G86" s="23" t="str">
        <x:v>Pending</x:v>
      </x:c>
      <x:c r="H86" s="23" t="str"/>
      <x:c r="I86" s="23" t="str"/>
      <x:c r="J86" s="23" t="str"/>
      <x:c r="K86" s="23" t="str"/>
      <x:c r="L86" s="23" t="str"/>
      <x:c r="M86" s="23" t="str"/>
      <x:c r="N86" s="23" t="str">
        <x:v>Pending</x:v>
      </x:c>
      <x:c r="O86" s="23" t="str"/>
      <x:c r="P86" s="23" t="str"/>
      <x:c r="Q86" s="23" t="str"/>
    </x:row>
    <x:row r="87">
      <x:c r="A87" s="23" t="n">
        <x:v>84</x:v>
      </x:c>
      <x:c r="B87" s="23" t="str"/>
      <x:c r="C87" s="23" t="str"/>
      <x:c r="D87" s="23" t="str"/>
      <x:c r="E87" s="29" t="str"/>
      <x:c r="F87" s="29" t="str"/>
      <x:c r="G87" s="23" t="str">
        <x:v>Pending</x:v>
      </x:c>
      <x:c r="H87" s="23" t="str"/>
      <x:c r="I87" s="23" t="str"/>
      <x:c r="J87" s="23" t="str"/>
      <x:c r="K87" s="23" t="str"/>
      <x:c r="L87" s="23" t="str"/>
      <x:c r="M87" s="23" t="str"/>
      <x:c r="N87" s="23" t="str">
        <x:v>Pending</x:v>
      </x:c>
      <x:c r="O87" s="23" t="str"/>
      <x:c r="P87" s="23" t="str"/>
      <x:c r="Q87" s="23" t="str"/>
    </x:row>
    <x:row r="88">
      <x:c r="A88" s="23" t="n">
        <x:v>85</x:v>
      </x:c>
      <x:c r="B88" s="23" t="str"/>
      <x:c r="C88" s="23" t="str"/>
      <x:c r="D88" s="23" t="str"/>
      <x:c r="E88" s="29" t="str"/>
      <x:c r="F88" s="29" t="str"/>
      <x:c r="G88" s="23" t="str">
        <x:v>Pending</x:v>
      </x:c>
      <x:c r="H88" s="23" t="str"/>
      <x:c r="I88" s="23" t="str"/>
      <x:c r="J88" s="23" t="str"/>
      <x:c r="K88" s="23" t="str"/>
      <x:c r="L88" s="23" t="str"/>
      <x:c r="M88" s="23" t="str"/>
      <x:c r="N88" s="23" t="str">
        <x:v>Pending</x:v>
      </x:c>
      <x:c r="O88" s="23" t="str"/>
      <x:c r="P88" s="23" t="str"/>
      <x:c r="Q88" s="23" t="str"/>
    </x:row>
    <x:row r="89">
      <x:c r="A89" s="23" t="n">
        <x:v>86</x:v>
      </x:c>
      <x:c r="B89" s="23" t="str"/>
      <x:c r="C89" s="23" t="str"/>
      <x:c r="D89" s="23" t="str"/>
      <x:c r="E89" s="29" t="str"/>
      <x:c r="F89" s="29" t="str"/>
      <x:c r="G89" s="23" t="str">
        <x:v>Pending</x:v>
      </x:c>
      <x:c r="H89" s="23" t="str"/>
      <x:c r="I89" s="23" t="str"/>
      <x:c r="J89" s="23" t="str"/>
      <x:c r="K89" s="23" t="str"/>
      <x:c r="L89" s="23" t="str"/>
      <x:c r="M89" s="23" t="str"/>
      <x:c r="N89" s="23" t="str">
        <x:v>Pending</x:v>
      </x:c>
      <x:c r="O89" s="23" t="str"/>
      <x:c r="P89" s="23" t="str"/>
      <x:c r="Q89" s="23" t="str"/>
    </x:row>
    <x:row r="90">
      <x:c r="A90" s="23" t="n">
        <x:v>87</x:v>
      </x:c>
      <x:c r="B90" s="23" t="str"/>
      <x:c r="C90" s="23" t="str"/>
      <x:c r="D90" s="23" t="str"/>
      <x:c r="E90" s="29" t="str"/>
      <x:c r="F90" s="29" t="str"/>
      <x:c r="G90" s="23" t="str">
        <x:v>Pending</x:v>
      </x:c>
      <x:c r="H90" s="23" t="str"/>
      <x:c r="I90" s="23" t="str"/>
      <x:c r="J90" s="23" t="str"/>
      <x:c r="K90" s="23" t="str"/>
      <x:c r="L90" s="23" t="str"/>
      <x:c r="M90" s="23" t="str"/>
      <x:c r="N90" s="23" t="str">
        <x:v>Pending</x:v>
      </x:c>
      <x:c r="O90" s="23" t="str"/>
      <x:c r="P90" s="23" t="str"/>
      <x:c r="Q90" s="23" t="str"/>
    </x:row>
    <x:row r="91">
      <x:c r="A91" s="23" t="n">
        <x:v>88</x:v>
      </x:c>
      <x:c r="B91" s="23" t="str"/>
      <x:c r="C91" s="23" t="str"/>
      <x:c r="D91" s="23" t="str"/>
      <x:c r="E91" s="29" t="str"/>
      <x:c r="F91" s="29" t="str"/>
      <x:c r="G91" s="23" t="str">
        <x:v>Pending</x:v>
      </x:c>
      <x:c r="H91" s="23" t="str"/>
      <x:c r="I91" s="23" t="str"/>
      <x:c r="J91" s="23" t="str"/>
      <x:c r="K91" s="23" t="str"/>
      <x:c r="L91" s="23" t="str"/>
      <x:c r="M91" s="23" t="str"/>
      <x:c r="N91" s="23" t="str">
        <x:v>Pending</x:v>
      </x:c>
      <x:c r="O91" s="23" t="str"/>
      <x:c r="P91" s="23" t="str"/>
      <x:c r="Q91" s="23" t="str"/>
    </x:row>
    <x:row r="92">
      <x:c r="A92" s="23" t="n">
        <x:v>89</x:v>
      </x:c>
      <x:c r="B92" s="23" t="str"/>
      <x:c r="C92" s="23" t="str"/>
      <x:c r="D92" s="23" t="str"/>
      <x:c r="E92" s="29" t="str"/>
      <x:c r="F92" s="29" t="str"/>
      <x:c r="G92" s="23" t="str">
        <x:v>Pending</x:v>
      </x:c>
      <x:c r="H92" s="23" t="str"/>
      <x:c r="I92" s="23" t="str"/>
      <x:c r="J92" s="23" t="str"/>
      <x:c r="K92" s="23" t="str"/>
      <x:c r="L92" s="23" t="str"/>
      <x:c r="M92" s="23" t="str"/>
      <x:c r="N92" s="23" t="str">
        <x:v>Pending</x:v>
      </x:c>
      <x:c r="O92" s="23" t="str"/>
      <x:c r="P92" s="23" t="str"/>
      <x:c r="Q92" s="23" t="str"/>
    </x:row>
    <x:row r="93">
      <x:c r="A93" s="23" t="n">
        <x:v>90</x:v>
      </x:c>
      <x:c r="B93" s="23" t="str"/>
      <x:c r="C93" s="23" t="str"/>
      <x:c r="D93" s="23" t="str"/>
      <x:c r="E93" s="29" t="str"/>
      <x:c r="F93" s="29" t="str"/>
      <x:c r="G93" s="23" t="str">
        <x:v>Pending</x:v>
      </x:c>
      <x:c r="H93" s="23" t="str"/>
      <x:c r="I93" s="23" t="str"/>
      <x:c r="J93" s="23" t="str"/>
      <x:c r="K93" s="23" t="str"/>
      <x:c r="L93" s="23" t="str"/>
      <x:c r="M93" s="23" t="str"/>
      <x:c r="N93" s="23" t="str">
        <x:v>Pending</x:v>
      </x:c>
      <x:c r="O93" s="23" t="str"/>
      <x:c r="P93" s="23" t="str"/>
      <x:c r="Q93" s="23" t="str"/>
    </x:row>
    <x:row r="94">
      <x:c r="A94" s="23" t="n">
        <x:v>91</x:v>
      </x:c>
      <x:c r="B94" s="23" t="str"/>
      <x:c r="C94" s="23" t="str"/>
      <x:c r="D94" s="23" t="str"/>
      <x:c r="E94" s="29" t="str"/>
      <x:c r="F94" s="29" t="str"/>
      <x:c r="G94" s="23" t="str">
        <x:v>Pending</x:v>
      </x:c>
      <x:c r="H94" s="23" t="str"/>
      <x:c r="I94" s="23" t="str"/>
      <x:c r="J94" s="23" t="str"/>
      <x:c r="K94" s="23" t="str"/>
      <x:c r="L94" s="23" t="str"/>
      <x:c r="M94" s="23" t="str"/>
      <x:c r="N94" s="23" t="str">
        <x:v>Pending</x:v>
      </x:c>
      <x:c r="O94" s="23" t="str"/>
      <x:c r="P94" s="23" t="str"/>
      <x:c r="Q94" s="23" t="str"/>
    </x:row>
    <x:row r="95">
      <x:c r="A95" s="23" t="n">
        <x:v>92</x:v>
      </x:c>
      <x:c r="B95" s="23" t="str"/>
      <x:c r="C95" s="23" t="str"/>
      <x:c r="D95" s="23" t="str"/>
      <x:c r="E95" s="29" t="str"/>
      <x:c r="F95" s="29" t="str"/>
      <x:c r="G95" s="23" t="str">
        <x:v>Pending</x:v>
      </x:c>
      <x:c r="H95" s="23" t="str"/>
      <x:c r="I95" s="23" t="str"/>
      <x:c r="J95" s="23" t="str"/>
      <x:c r="K95" s="23" t="str"/>
      <x:c r="L95" s="23" t="str"/>
      <x:c r="M95" s="23" t="str"/>
      <x:c r="N95" s="23" t="str">
        <x:v>Pending</x:v>
      </x:c>
      <x:c r="O95" s="23" t="str"/>
      <x:c r="P95" s="23" t="str"/>
      <x:c r="Q95" s="23" t="str"/>
    </x:row>
    <x:row r="96">
      <x:c r="A96" s="23" t="n">
        <x:v>93</x:v>
      </x:c>
      <x:c r="B96" s="23" t="str"/>
      <x:c r="C96" s="23" t="str"/>
      <x:c r="D96" s="23" t="str"/>
      <x:c r="E96" s="29" t="str"/>
      <x:c r="F96" s="29" t="str"/>
      <x:c r="G96" s="23" t="str">
        <x:v>Pending</x:v>
      </x:c>
      <x:c r="H96" s="23" t="str"/>
      <x:c r="I96" s="23" t="str"/>
      <x:c r="J96" s="23" t="str"/>
      <x:c r="K96" s="23" t="str"/>
      <x:c r="L96" s="23" t="str"/>
      <x:c r="M96" s="23" t="str"/>
      <x:c r="N96" s="23" t="str">
        <x:v>Pending</x:v>
      </x:c>
      <x:c r="O96" s="23" t="str"/>
      <x:c r="P96" s="23" t="str"/>
      <x:c r="Q96" s="23" t="str"/>
    </x:row>
    <x:row r="97">
      <x:c r="A97" s="23" t="n">
        <x:v>94</x:v>
      </x:c>
      <x:c r="B97" s="23" t="str"/>
      <x:c r="C97" s="23" t="str"/>
      <x:c r="D97" s="23" t="str"/>
      <x:c r="E97" s="29" t="str"/>
      <x:c r="F97" s="29" t="str"/>
      <x:c r="G97" s="23" t="str">
        <x:v>Pending</x:v>
      </x:c>
      <x:c r="H97" s="23" t="str"/>
      <x:c r="I97" s="23" t="str"/>
      <x:c r="J97" s="23" t="str"/>
      <x:c r="K97" s="23" t="str"/>
      <x:c r="L97" s="23" t="str"/>
      <x:c r="M97" s="23" t="str"/>
      <x:c r="N97" s="23" t="str">
        <x:v>Pending</x:v>
      </x:c>
      <x:c r="O97" s="23" t="str"/>
      <x:c r="P97" s="23" t="str"/>
      <x:c r="Q97" s="23" t="str"/>
    </x:row>
    <x:row r="98">
      <x:c r="A98" s="23" t="n">
        <x:v>95</x:v>
      </x:c>
      <x:c r="B98" s="23" t="str"/>
      <x:c r="C98" s="23" t="str"/>
      <x:c r="D98" s="23" t="str"/>
      <x:c r="E98" s="29" t="str"/>
      <x:c r="F98" s="29" t="str"/>
      <x:c r="G98" s="23" t="str">
        <x:v>Pending</x:v>
      </x:c>
      <x:c r="H98" s="23" t="str"/>
      <x:c r="I98" s="23" t="str"/>
      <x:c r="J98" s="23" t="str"/>
      <x:c r="K98" s="23" t="str"/>
      <x:c r="L98" s="23" t="str"/>
      <x:c r="M98" s="23" t="str"/>
      <x:c r="N98" s="23" t="str">
        <x:v>Pending</x:v>
      </x:c>
      <x:c r="O98" s="23" t="str"/>
      <x:c r="P98" s="23" t="str"/>
      <x:c r="Q98" s="23" t="str"/>
    </x:row>
    <x:row r="99">
      <x:c r="A99" s="23" t="n">
        <x:v>96</x:v>
      </x:c>
      <x:c r="B99" s="23" t="str"/>
      <x:c r="C99" s="23" t="str"/>
      <x:c r="D99" s="23" t="str"/>
      <x:c r="E99" s="29" t="str"/>
      <x:c r="F99" s="29" t="str"/>
      <x:c r="G99" s="23" t="str">
        <x:v>Pending</x:v>
      </x:c>
      <x:c r="H99" s="23" t="str"/>
      <x:c r="I99" s="23" t="str"/>
      <x:c r="J99" s="23" t="str"/>
      <x:c r="K99" s="23" t="str"/>
      <x:c r="L99" s="23" t="str"/>
      <x:c r="M99" s="23" t="str"/>
      <x:c r="N99" s="23" t="str">
        <x:v>Pending</x:v>
      </x:c>
      <x:c r="O99" s="23" t="str"/>
      <x:c r="P99" s="23" t="str"/>
      <x:c r="Q99" s="23" t="str"/>
    </x:row>
    <x:row r="100">
      <x:c r="A100" s="23" t="n">
        <x:v>97</x:v>
      </x:c>
      <x:c r="B100" s="23" t="str"/>
      <x:c r="C100" s="23" t="str"/>
      <x:c r="D100" s="23" t="str"/>
      <x:c r="E100" s="29" t="str"/>
      <x:c r="F100" s="29" t="str"/>
      <x:c r="G100" s="23" t="str">
        <x:v>Pending</x:v>
      </x:c>
      <x:c r="H100" s="23" t="str"/>
      <x:c r="I100" s="23" t="str"/>
      <x:c r="J100" s="23" t="str"/>
      <x:c r="K100" s="23" t="str"/>
      <x:c r="L100" s="23" t="str"/>
      <x:c r="M100" s="23" t="str"/>
      <x:c r="N100" s="23" t="str">
        <x:v>Pending</x:v>
      </x:c>
      <x:c r="O100" s="23" t="str"/>
      <x:c r="P100" s="23" t="str"/>
      <x:c r="Q100" s="23" t="str"/>
    </x:row>
    <x:row r="101">
      <x:c r="A101" s="23" t="n">
        <x:v>98</x:v>
      </x:c>
      <x:c r="B101" s="23" t="str"/>
      <x:c r="C101" s="23" t="str"/>
      <x:c r="D101" s="23" t="str"/>
      <x:c r="E101" s="29" t="str"/>
      <x:c r="F101" s="29" t="str"/>
      <x:c r="G101" s="23" t="str">
        <x:v>Pending</x:v>
      </x:c>
      <x:c r="H101" s="23" t="str"/>
      <x:c r="I101" s="23" t="str"/>
      <x:c r="J101" s="23" t="str"/>
      <x:c r="K101" s="23" t="str"/>
      <x:c r="L101" s="23" t="str"/>
      <x:c r="M101" s="23" t="str"/>
      <x:c r="N101" s="23" t="str">
        <x:v>Pending</x:v>
      </x:c>
      <x:c r="O101" s="23" t="str"/>
      <x:c r="P101" s="23" t="str"/>
      <x:c r="Q101" s="23" t="str"/>
    </x:row>
    <x:row r="102">
      <x:c r="A102" s="23" t="n">
        <x:v>99</x:v>
      </x:c>
      <x:c r="B102" s="23" t="str"/>
      <x:c r="C102" s="23" t="str"/>
      <x:c r="D102" s="23" t="str"/>
      <x:c r="E102" s="29" t="str"/>
      <x:c r="F102" s="29" t="str"/>
      <x:c r="G102" s="23" t="str">
        <x:v>Pending</x:v>
      </x:c>
      <x:c r="H102" s="23" t="str"/>
      <x:c r="I102" s="23" t="str"/>
      <x:c r="J102" s="23" t="str"/>
      <x:c r="K102" s="23" t="str"/>
      <x:c r="L102" s="23" t="str"/>
      <x:c r="M102" s="23" t="str"/>
      <x:c r="N102" s="23" t="str">
        <x:v>Pending</x:v>
      </x:c>
      <x:c r="O102" s="23" t="str"/>
      <x:c r="P102" s="23" t="str"/>
      <x:c r="Q102" s="23" t="str"/>
    </x:row>
    <x:row r="103">
      <x:c r="A103" s="23" t="n">
        <x:v>100</x:v>
      </x:c>
      <x:c r="B103" s="23" t="str"/>
      <x:c r="C103" s="23" t="str"/>
      <x:c r="D103" s="23" t="str"/>
      <x:c r="E103" s="29" t="str"/>
      <x:c r="F103" s="29" t="str"/>
      <x:c r="G103" s="23" t="str">
        <x:v>Pending</x:v>
      </x:c>
      <x:c r="H103" s="23" t="str"/>
      <x:c r="I103" s="23" t="str"/>
      <x:c r="J103" s="23" t="str"/>
      <x:c r="K103" s="23" t="str"/>
      <x:c r="L103" s="23" t="str"/>
      <x:c r="M103" s="23" t="str"/>
      <x:c r="N103" s="23" t="str">
        <x:v>Pending</x:v>
      </x:c>
      <x:c r="O103" s="23" t="str"/>
      <x:c r="P103" s="23" t="str"/>
      <x:c r="Q103" s="23" t="str"/>
    </x:row>
  </x:sheetData>
  <x:mergeCells>
    <x:mergeCell ref="A1:M1"/>
  </x:mergeCells>
  <x:dataValidations count="2">
    <x:dataValidation type="list" sqref="G4:G103">
      <x:formula1>"Pending,In Progress,Completed,Needs Update"</x:formula1>
    </x:dataValidation>
    <x:dataValidation type="list" sqref="N4:N103">
      <x:formula1>"Pending,Current,New Results Available,Research Needs Update"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1d02a34d7540d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8" hidden="0" customWidth="1"/>
    <x:col min="5" max="5" width="46" hidden="0" customWidth="1"/>
    <x:col min="6" max="6" width="14" hidden="0" customWidth="1"/>
    <x:col min="7" max="7" width="17" hidden="0" customWidth="1"/>
    <x:col min="8" max="8" width="13" hidden="0" customWidth="1"/>
    <x:col min="9" max="9" width="12" hidden="0" customWidth="1"/>
    <x:col min="10" max="10" width="18" hidden="0" customWidth="1"/>
    <x:col min="11" max="11" width="12" hidden="0" customWidth="1"/>
    <x:col min="12" max="12" width="12" hidden="0" customWidth="1"/>
    <x:col min="13" max="13" width="13" hidden="0" customWidth="1"/>
    <x:col min="14" max="14" width="14" hidden="0" customWidth="1"/>
    <x:col min="15" max="15" width="16" hidden="0" customWidth="1"/>
    <x:col min="16" max="16" width="14" hidden="0" customWidth="1"/>
    <x:col min="17" max="17" width="36" hidden="0" customWidth="1"/>
    <x:col min="18" max="18" width="9" hidden="0" customWidth="1"/>
  </x:cols>
  <x:sheetData>
    <x:row r="1" ht="30" customHeight="1">
      <x:c r="A1" s="5" t="str">
        <x:v>Master Scorecard</x:v>
      </x:c>
    </x:row>
    <x:row r="3" ht="30" customHeight="1">
      <x:c r="A3" s="14" t="str">
        <x:v>MCap Rank</x:v>
      </x:c>
      <x:c r="B3" s="14" t="str">
        <x:v>Ticker</x:v>
      </x:c>
      <x:c r="C3" s="14" t="str">
        <x:v>Sector</x:v>
      </x:c>
      <x:c r="D3" s="14" t="str">
        <x:v>Valuation Class</x:v>
      </x:c>
      <x:c r="E3" s="14" t="str">
        <x:v>Special Flags</x:v>
      </x:c>
      <x:c r="F3" s="14" t="str">
        <x:v>Business Quality</x:v>
      </x:c>
      <x:c r="G3" s="14" t="str">
        <x:v>Competitive Advantage</x:v>
      </x:c>
      <x:c r="H3" s="14" t="str">
        <x:v>Management</x:v>
      </x:c>
      <x:c r="I3" s="14" t="str">
        <x:v>Growth</x:v>
      </x:c>
      <x:c r="J3" s="14" t="str">
        <x:v>Financial Strength</x:v>
      </x:c>
      <x:c r="K3" s="14" t="str">
        <x:v>Valuation</x:v>
      </x:c>
      <x:c r="L3" s="14" t="str">
        <x:v>Catalysts</x:v>
      </x:c>
      <x:c r="M3" s="14" t="str">
        <x:v>Risk Profile</x:v>
      </x:c>
      <x:c r="N3" s="14" t="str">
        <x:v>Overall Score</x:v>
      </x:c>
      <x:c r="O3" s="14" t="str">
        <x:v>Research Status</x:v>
      </x:c>
      <x:c r="P3" s="14" t="str">
        <x:v>Research Date</x:v>
      </x:c>
      <x:c r="Q3" s="14" t="str">
        <x:v>Investor Fit</x:v>
      </x:c>
      <x:c r="R3" s="14" t="str">
        <x:v>Batch</x:v>
      </x:c>
    </x:row>
    <x:row r="4">
      <x:c r="A4" s="26" t="n">
        <x:v>1</x:v>
      </x:c>
      <x:c r="B4" s="26" t="str">
        <x:v>DELTA</x:v>
      </x:c>
      <x:c r="C4" s="26" t="str">
        <x:v>Electronic Components</x:v>
      </x:c>
      <x:c r="D4" s="26" t="str">
        <x:v>Very Expensive</x:v>
      </x:c>
      <x:c r="E4" s="26" t="str">
        <x:v>Moat | Growth | Strong Balance Sheet | Extreme Valuation</x:v>
      </x:c>
      <x:c r="F4" s="42" t="n">
        <x:v>9.5</x:v>
      </x:c>
      <x:c r="G4" s="42" t="n">
        <x:v>9</x:v>
      </x:c>
      <x:c r="H4" s="42" t="n">
        <x:v>8.5</x:v>
      </x:c>
      <x:c r="I4" s="42" t="n">
        <x:v>9.5</x:v>
      </x:c>
      <x:c r="J4" s="42" t="n">
        <x:v>9.5</x:v>
      </x:c>
      <x:c r="K4" s="42" t="n">
        <x:v>2</x:v>
      </x:c>
      <x:c r="L4" s="42" t="n">
        <x:v>9</x:v>
      </x:c>
      <x:c r="M4" s="42" t="n">
        <x:v>5.5</x:v>
      </x:c>
      <x:c r="N4" s="43" t="n">
        <x:f>AVERAGE(F4:M4)</x:f>
        <x:v>7.8125</x:v>
      </x:c>
      <x:c r="O4" s="26" t="str">
        <x:v>Completed</x:v>
      </x:c>
      <x:c r="P4" s="26" t="str">
        <x:v>2026-10-08</x:v>
      </x:c>
      <x:c r="Q4" s="26" t="str">
        <x:v>Growth investor with high tolerance for valuation risk.</x:v>
      </x:c>
      <x:c r="R4" s="26" t="n">
        <x:v>1</x:v>
      </x:c>
    </x:row>
    <x:row r="5">
      <x:c r="A5" s="26" t="n">
        <x:v>2</x:v>
      </x:c>
      <x:c r="B5" s="26" t="str">
        <x:v>PTT</x:v>
      </x:c>
      <x:c r="C5" s="26" t="str">
        <x:v>Energy &amp; Utilities</x:v>
      </x:c>
      <x:c r="D5" s="26" t="str">
        <x:v>Cheap</x:v>
      </x:c>
      <x:c r="E5" s="26" t="str">
        <x:v>Dividend | Value | Bond Candidate | Asset Backing</x:v>
      </x:c>
      <x:c r="F5" s="42" t="n">
        <x:v>8</x:v>
      </x:c>
      <x:c r="G5" s="42" t="n">
        <x:v>9</x:v>
      </x:c>
      <x:c r="H5" s="42" t="n">
        <x:v>7</x:v>
      </x:c>
      <x:c r="I5" s="42" t="n">
        <x:v>5.5</x:v>
      </x:c>
      <x:c r="J5" s="42" t="n">
        <x:v>9</x:v>
      </x:c>
      <x:c r="K5" s="42" t="n">
        <x:v>8.5</x:v>
      </x:c>
      <x:c r="L5" s="42" t="n">
        <x:v>7</x:v>
      </x:c>
      <x:c r="M5" s="42" t="n">
        <x:v>7</x:v>
      </x:c>
      <x:c r="N5" s="43" t="n">
        <x:f>AVERAGE(F5:M5)</x:f>
        <x:v>7.625</x:v>
      </x:c>
      <x:c r="O5" s="26" t="str">
        <x:v>Completed</x:v>
      </x:c>
      <x:c r="P5" s="26" t="str">
        <x:v>2026-10-08</x:v>
      </x:c>
      <x:c r="Q5" s="26" t="str">
        <x:v>Value/dividend investor and credit investor.</x:v>
      </x:c>
      <x:c r="R5" s="26" t="n">
        <x:v>1</x:v>
      </x:c>
    </x:row>
    <x:row r="6">
      <x:c r="A6" s="26" t="n">
        <x:v>3</x:v>
      </x:c>
      <x:c r="B6" s="26" t="str">
        <x:v>ADVANC</x:v>
      </x:c>
      <x:c r="C6" s="26" t="str">
        <x:v>Information &amp; Communication Technology</x:v>
      </x:c>
      <x:c r="D6" s="26" t="str">
        <x:v>Fair Value</x:v>
      </x:c>
      <x:c r="E6" s="26" t="str">
        <x:v>Moat | Dividend | Growth | Bond Candidate | Quality</x:v>
      </x:c>
      <x:c r="F6" s="42" t="n">
        <x:v>9.5</x:v>
      </x:c>
      <x:c r="G6" s="42" t="n">
        <x:v>9.5</x:v>
      </x:c>
      <x:c r="H6" s="42" t="n">
        <x:v>9</x:v>
      </x:c>
      <x:c r="I6" s="42" t="n">
        <x:v>8</x:v>
      </x:c>
      <x:c r="J6" s="42" t="n">
        <x:v>9</x:v>
      </x:c>
      <x:c r="K6" s="42" t="n">
        <x:v>6.5</x:v>
      </x:c>
      <x:c r="L6" s="42" t="n">
        <x:v>8</x:v>
      </x:c>
      <x:c r="M6" s="42" t="n">
        <x:v>8</x:v>
      </x:c>
      <x:c r="N6" s="43" t="n">
        <x:f>AVERAGE(F6:M6)</x:f>
        <x:v>8.4375</x:v>
      </x:c>
      <x:c r="O6" s="26" t="str">
        <x:v>Completed</x:v>
      </x:c>
      <x:c r="P6" s="26" t="str">
        <x:v>2026-10-08</x:v>
      </x:c>
      <x:c r="Q6" s="26" t="str">
        <x:v>Core quality/compounder investor and credit investor.</x:v>
      </x:c>
      <x:c r="R6" s="26" t="n">
        <x:v>1</x:v>
      </x:c>
    </x:row>
    <x:row r="7">
      <x:c r="A7" s="26" t="n">
        <x:v>4</x:v>
      </x:c>
      <x:c r="B7" s="26" t="str">
        <x:v>GULF</x:v>
      </x:c>
      <x:c r="C7" s="26" t="str">
        <x:v>Energy &amp; Utilities</x:v>
      </x:c>
      <x:c r="D7" s="26" t="str">
        <x:v>Fair Value</x:v>
      </x:c>
      <x:c r="E7" s="26" t="str">
        <x:v>Growth | Ecosystem Moat | Infrastructure | AI/Data Center</x:v>
      </x:c>
      <x:c r="F7" s="42" t="n">
        <x:v>9</x:v>
      </x:c>
      <x:c r="G7" s="42" t="n">
        <x:v>8.5</x:v>
      </x:c>
      <x:c r="H7" s="42" t="n">
        <x:v>9</x:v>
      </x:c>
      <x:c r="I7" s="42" t="n">
        <x:v>9</x:v>
      </x:c>
      <x:c r="J7" s="42" t="n">
        <x:v>7</x:v>
      </x:c>
      <x:c r="K7" s="42" t="n">
        <x:v>6.5</x:v>
      </x:c>
      <x:c r="L7" s="42" t="n">
        <x:v>9</x:v>
      </x:c>
      <x:c r="M7" s="42" t="n">
        <x:v>6.5</x:v>
      </x:c>
      <x:c r="N7" s="43" t="n">
        <x:f>AVERAGE(F7:M7)</x:f>
        <x:v>8.0625</x:v>
      </x:c>
      <x:c r="O7" s="26" t="str">
        <x:v>Completed</x:v>
      </x:c>
      <x:c r="P7" s="26" t="str">
        <x:v>2026-10-08</x:v>
      </x:c>
      <x:c r="Q7" s="26" t="str">
        <x:v>Growth/infrastructure investor comfortable with leverage and complexity.</x:v>
      </x:c>
      <x:c r="R7" s="26" t="n">
        <x:v>1</x:v>
      </x:c>
    </x:row>
    <x:row r="8">
      <x:c r="A8" s="26" t="n">
        <x:v>5</x:v>
      </x:c>
      <x:c r="B8" s="26" t="str">
        <x:v>AOT</x:v>
      </x:c>
      <x:c r="C8" s="26" t="str">
        <x:v>Transportation &amp; Logistics</x:v>
      </x:c>
      <x:c r="D8" s="26" t="str">
        <x:v>Expensive</x:v>
      </x:c>
      <x:c r="E8" s="26" t="str">
        <x:v>Monopoly Moat | Tourism Recovery | Premium Valuation | Bond Candidate</x:v>
      </x:c>
      <x:c r="F8" s="42" t="n">
        <x:v>9.5</x:v>
      </x:c>
      <x:c r="G8" s="42" t="n">
        <x:v>10</x:v>
      </x:c>
      <x:c r="H8" s="42" t="n">
        <x:v>7.5</x:v>
      </x:c>
      <x:c r="I8" s="42" t="n">
        <x:v>7.5</x:v>
      </x:c>
      <x:c r="J8" s="42" t="n">
        <x:v>8.5</x:v>
      </x:c>
      <x:c r="K8" s="42" t="n">
        <x:v>4.5</x:v>
      </x:c>
      <x:c r="L8" s="42" t="n">
        <x:v>7.5</x:v>
      </x:c>
      <x:c r="M8" s="42" t="n">
        <x:v>7.5</x:v>
      </x:c>
      <x:c r="N8" s="43" t="n">
        <x:f>AVERAGE(F8:M8)</x:f>
        <x:v>7.8125</x:v>
      </x:c>
      <x:c r="O8" s="26" t="str">
        <x:v>Completed</x:v>
      </x:c>
      <x:c r="P8" s="26" t="str">
        <x:v>2026-10-08</x:v>
      </x:c>
      <x:c r="Q8" s="26" t="str">
        <x:v>Quality infrastructure investor willing to pay a premium.</x:v>
      </x:c>
      <x:c r="R8" s="26" t="n">
        <x:v>1</x:v>
      </x:c>
    </x:row>
    <x:row r="9">
      <x:c r="A9" s="26" t="n">
        <x:v>6</x:v>
      </x:c>
      <x:c r="B9" s="26" t="str">
        <x:v>KTB</x:v>
      </x:c>
      <x:c r="C9" s="26" t="str">
        <x:v>Banking</x:v>
      </x:c>
      <x:c r="D9" s="26" t="str">
        <x:v>Fair Value</x:v>
      </x:c>
      <x:c r="E9" s="26" t="str">
        <x:v>Dividend | Digital Platform | Government Ecosystem | Bond Candidate</x:v>
      </x:c>
      <x:c r="F9" s="42" t="n">
        <x:v>8.5</x:v>
      </x:c>
      <x:c r="G9" s="42" t="n">
        <x:v>8.5</x:v>
      </x:c>
      <x:c r="H9" s="42" t="n">
        <x:v>8</x:v>
      </x:c>
      <x:c r="I9" s="42" t="n">
        <x:v>7</x:v>
      </x:c>
      <x:c r="J9" s="42" t="n">
        <x:v>9.5</x:v>
      </x:c>
      <x:c r="K9" s="42" t="n">
        <x:v>6</x:v>
      </x:c>
      <x:c r="L9" s="42" t="n">
        <x:v>7.5</x:v>
      </x:c>
      <x:c r="M9" s="42" t="n">
        <x:v>7</x:v>
      </x:c>
      <x:c r="N9" s="42" t="n">
        <x:v>7.75</x:v>
      </x:c>
      <x:c r="O9" s="26" t="str">
        <x:v>Completed</x:v>
      </x:c>
      <x:c r="P9" s="23" t="str"/>
      <x:c r="Q9" s="23" t="str"/>
      <x:c r="R9" s="23" t="str"/>
    </x:row>
    <x:row r="10">
      <x:c r="A10" s="26" t="n">
        <x:v>7</x:v>
      </x:c>
      <x:c r="B10" s="26" t="str">
        <x:v>PTTEP</x:v>
      </x:c>
      <x:c r="C10" s="26" t="str">
        <x:v>Energy &amp; Utilities</x:v>
      </x:c>
      <x:c r="D10" s="26" t="str">
        <x:v>Fair Value</x:v>
      </x:c>
      <x:c r="E10" s="26" t="str">
        <x:v>Dividend | Energy Security | Growth Projects | Strong Balance Sheet</x:v>
      </x:c>
      <x:c r="F10" s="42" t="n">
        <x:v>9</x:v>
      </x:c>
      <x:c r="G10" s="42" t="n">
        <x:v>8.5</x:v>
      </x:c>
      <x:c r="H10" s="42" t="n">
        <x:v>8.5</x:v>
      </x:c>
      <x:c r="I10" s="42" t="n">
        <x:v>8</x:v>
      </x:c>
      <x:c r="J10" s="42" t="n">
        <x:v>9.5</x:v>
      </x:c>
      <x:c r="K10" s="42" t="n">
        <x:v>7</x:v>
      </x:c>
      <x:c r="L10" s="42" t="n">
        <x:v>8</x:v>
      </x:c>
      <x:c r="M10" s="42" t="n">
        <x:v>6.5</x:v>
      </x:c>
      <x:c r="N10" s="42" t="n">
        <x:v>8.125</x:v>
      </x:c>
      <x:c r="O10" s="26" t="str">
        <x:v>Completed</x:v>
      </x:c>
      <x:c r="P10" s="23" t="str"/>
      <x:c r="Q10" s="23" t="str"/>
      <x:c r="R10" s="23" t="str"/>
    </x:row>
    <x:row r="11">
      <x:c r="A11" s="26" t="n">
        <x:v>8</x:v>
      </x:c>
      <x:c r="B11" s="26" t="str">
        <x:v>KBANK</x:v>
      </x:c>
      <x:c r="C11" s="26" t="str">
        <x:v>Banking</x:v>
      </x:c>
      <x:c r="D11" s="26" t="str">
        <x:v>Fair Value</x:v>
      </x:c>
      <x:c r="E11" s="26" t="str">
        <x:v>Digital Banking | Wealth | Quality | Strong Capital</x:v>
      </x:c>
      <x:c r="F11" s="42" t="n">
        <x:v>9</x:v>
      </x:c>
      <x:c r="G11" s="42" t="n">
        <x:v>9</x:v>
      </x:c>
      <x:c r="H11" s="42" t="n">
        <x:v>9</x:v>
      </x:c>
      <x:c r="I11" s="42" t="n">
        <x:v>7</x:v>
      </x:c>
      <x:c r="J11" s="42" t="n">
        <x:v>9</x:v>
      </x:c>
      <x:c r="K11" s="42" t="n">
        <x:v>6.5</x:v>
      </x:c>
      <x:c r="L11" s="42" t="n">
        <x:v>7.5</x:v>
      </x:c>
      <x:c r="M11" s="42" t="n">
        <x:v>7.5</x:v>
      </x:c>
      <x:c r="N11" s="42" t="n">
        <x:v>8.0625</x:v>
      </x:c>
      <x:c r="O11" s="26" t="str">
        <x:v>Completed</x:v>
      </x:c>
      <x:c r="P11" s="23" t="str"/>
      <x:c r="Q11" s="23" t="str"/>
      <x:c r="R11" s="23" t="str"/>
    </x:row>
    <x:row r="12">
      <x:c r="A12" s="26" t="n">
        <x:v>9</x:v>
      </x:c>
      <x:c r="B12" s="26" t="str">
        <x:v>SCB</x:v>
      </x:c>
      <x:c r="C12" s="26" t="str">
        <x:v>Banking</x:v>
      </x:c>
      <x:c r="D12" s="26" t="str">
        <x:v>Fair Value</x:v>
      </x:c>
      <x:c r="E12" s="26" t="str">
        <x:v>Dividend | Wealth | Digital Finance | AI/BankX</x:v>
      </x:c>
      <x:c r="F12" s="42" t="n">
        <x:v>8.5</x:v>
      </x:c>
      <x:c r="G12" s="42" t="n">
        <x:v>8.5</x:v>
      </x:c>
      <x:c r="H12" s="42" t="n">
        <x:v>8.5</x:v>
      </x:c>
      <x:c r="I12" s="42" t="n">
        <x:v>7.5</x:v>
      </x:c>
      <x:c r="J12" s="42" t="n">
        <x:v>8.5</x:v>
      </x:c>
      <x:c r="K12" s="42" t="n">
        <x:v>6</x:v>
      </x:c>
      <x:c r="L12" s="42" t="n">
        <x:v>8</x:v>
      </x:c>
      <x:c r="M12" s="42" t="n">
        <x:v>7</x:v>
      </x:c>
      <x:c r="N12" s="42" t="n">
        <x:v>7.8125</x:v>
      </x:c>
      <x:c r="O12" s="26" t="str">
        <x:v>Completed</x:v>
      </x:c>
      <x:c r="P12" s="23" t="str"/>
      <x:c r="Q12" s="23" t="str"/>
      <x:c r="R12" s="23" t="str"/>
    </x:row>
    <x:row r="13">
      <x:c r="A13" s="26" t="n">
        <x:v>10</x:v>
      </x:c>
      <x:c r="B13" s="26" t="str">
        <x:v>TRUE</x:v>
      </x:c>
      <x:c r="C13" s="26" t="str">
        <x:v>Information &amp; Communication Technology</x:v>
      </x:c>
      <x:c r="D13" s="26" t="str">
        <x:v>Fair Value</x:v>
      </x:c>
      <x:c r="E13" s="26" t="str">
        <x:v>Moat | Synergy | Margin Expansion | Deleveraging | AI</x:v>
      </x:c>
      <x:c r="F13" s="42" t="n">
        <x:v>8.5</x:v>
      </x:c>
      <x:c r="G13" s="42" t="n">
        <x:v>9</x:v>
      </x:c>
      <x:c r="H13" s="42" t="n">
        <x:v>8.5</x:v>
      </x:c>
      <x:c r="I13" s="42" t="n">
        <x:v>8.5</x:v>
      </x:c>
      <x:c r="J13" s="42" t="n">
        <x:v>6.5</x:v>
      </x:c>
      <x:c r="K13" s="42" t="n">
        <x:v>5.5</x:v>
      </x:c>
      <x:c r="L13" s="42" t="n">
        <x:v>9</x:v>
      </x:c>
      <x:c r="M13" s="42" t="n">
        <x:v>6.5</x:v>
      </x:c>
      <x:c r="N13" s="42" t="n">
        <x:v>7.75</x:v>
      </x:c>
      <x:c r="O13" s="26" t="str">
        <x:v>Completed</x:v>
      </x:c>
      <x:c r="P13" s="23" t="str"/>
      <x:c r="Q13" s="23" t="str"/>
      <x:c r="R13" s="23" t="str"/>
    </x:row>
    <x:row r="14">
      <x:c r="A14" s="26" t="n">
        <x:v>11</x:v>
      </x:c>
      <x:c r="B14" s="26" t="str">
        <x:v>CPALL</x:v>
      </x:c>
      <x:c r="C14" s="26" t="str">
        <x:v>Commerce</x:v>
      </x:c>
      <x:c r="D14" s="26" t="str">
        <x:v>Cheap</x:v>
      </x:c>
      <x:c r="E14" s="26" t="str">
        <x:v>Moat | Defensive Growth | Consumer | Deleveraging</x:v>
      </x:c>
      <x:c r="F14" s="42" t="n">
        <x:v>9</x:v>
      </x:c>
      <x:c r="G14" s="42" t="n">
        <x:v>9.5</x:v>
      </x:c>
      <x:c r="H14" s="42" t="n">
        <x:v>8.5</x:v>
      </x:c>
      <x:c r="I14" s="42" t="n">
        <x:v>8</x:v>
      </x:c>
      <x:c r="J14" s="42" t="n">
        <x:v>7</x:v>
      </x:c>
      <x:c r="K14" s="42" t="n">
        <x:v>8</x:v>
      </x:c>
      <x:c r="L14" s="42" t="n">
        <x:v>8</x:v>
      </x:c>
      <x:c r="M14" s="42" t="n">
        <x:v>7</x:v>
      </x:c>
      <x:c r="N14" s="42" t="n">
        <x:v>8.125</x:v>
      </x:c>
      <x:c r="O14" s="26" t="str">
        <x:v>Completed</x:v>
      </x:c>
      <x:c r="P14" s="23" t="str"/>
      <x:c r="Q14" s="23" t="str"/>
      <x:c r="R14" s="23" t="str"/>
    </x:row>
    <x:row r="15">
      <x:c r="A15" s="26" t="n">
        <x:v>12</x:v>
      </x:c>
      <x:c r="B15" s="26" t="str">
        <x:v>BBL</x:v>
      </x:c>
      <x:c r="C15" s="26" t="str">
        <x:v>Banking</x:v>
      </x:c>
      <x:c r="D15" s="26" t="str">
        <x:v>Cheap</x:v>
      </x:c>
      <x:c r="E15" s="26" t="str">
        <x:v>Value | Dividend | Capital Strength | ASEAN Network</x:v>
      </x:c>
      <x:c r="F15" s="42" t="n">
        <x:v>8.5</x:v>
      </x:c>
      <x:c r="G15" s="42" t="n">
        <x:v>8.5</x:v>
      </x:c>
      <x:c r="H15" s="42" t="n">
        <x:v>8.5</x:v>
      </x:c>
      <x:c r="I15" s="42" t="n">
        <x:v>6</x:v>
      </x:c>
      <x:c r="J15" s="42" t="n">
        <x:v>9.5</x:v>
      </x:c>
      <x:c r="K15" s="42" t="n">
        <x:v>8.5</x:v>
      </x:c>
      <x:c r="L15" s="42" t="n">
        <x:v>6.5</x:v>
      </x:c>
      <x:c r="M15" s="42" t="n">
        <x:v>8</x:v>
      </x:c>
      <x:c r="N15" s="42" t="n">
        <x:v>8.125</x:v>
      </x:c>
      <x:c r="O15" s="26" t="str">
        <x:v>Completed</x:v>
      </x:c>
      <x:c r="P15" s="23" t="str"/>
      <x:c r="Q15" s="23" t="str"/>
      <x:c r="R15" s="23" t="str"/>
    </x:row>
    <x:row r="16">
      <x:c r="A16" s="26" t="n">
        <x:v>13</x:v>
      </x:c>
      <x:c r="B16" s="26" t="str">
        <x:v>SCC</x:v>
      </x:c>
      <x:c r="C16" s="26" t="str">
        <x:v>Construction Materials</x:v>
      </x:c>
      <x:c r="D16" s="26" t="str">
        <x:v>Fair Value</x:v>
      </x:c>
      <x:c r="E16" s="26" t="str">
        <x:v>Conglomerate | Recovery | Asset Value | Cyclical</x:v>
      </x:c>
      <x:c r="F16" s="42" t="n">
        <x:v>8</x:v>
      </x:c>
      <x:c r="G16" s="42" t="n">
        <x:v>8.5</x:v>
      </x:c>
      <x:c r="H16" s="42" t="n">
        <x:v>8.5</x:v>
      </x:c>
      <x:c r="I16" s="42" t="n">
        <x:v>6.5</x:v>
      </x:c>
      <x:c r="J16" s="42" t="n">
        <x:v>6.5</x:v>
      </x:c>
      <x:c r="K16" s="42" t="n">
        <x:v>6.5</x:v>
      </x:c>
      <x:c r="L16" s="42" t="n">
        <x:v>8</x:v>
      </x:c>
      <x:c r="M16" s="42" t="n">
        <x:v>5.5</x:v>
      </x:c>
      <x:c r="N16" s="42" t="n">
        <x:v>7.5</x:v>
      </x:c>
      <x:c r="O16" s="26" t="str">
        <x:v>Completed</x:v>
      </x:c>
      <x:c r="P16" s="23" t="str"/>
      <x:c r="Q16" s="23" t="str"/>
      <x:c r="R16" s="23" t="str"/>
    </x:row>
    <x:row r="17">
      <x:c r="A17" s="26" t="n">
        <x:v>14</x:v>
      </x:c>
      <x:c r="B17" s="26" t="str">
        <x:v>BDMS</x:v>
      </x:c>
      <x:c r="C17" s="26" t="str">
        <x:v>Health Care Services</x:v>
      </x:c>
      <x:c r="D17" s="26" t="str">
        <x:v>Fair Value</x:v>
      </x:c>
      <x:c r="E17" s="26" t="str">
        <x:v>Moat | Defensive Growth | Medical Tourism | Strong Balance Sheet</x:v>
      </x:c>
      <x:c r="F17" s="42" t="n">
        <x:v>9.5</x:v>
      </x:c>
      <x:c r="G17" s="42" t="n">
        <x:v>9.5</x:v>
      </x:c>
      <x:c r="H17" s="42" t="n">
        <x:v>9</x:v>
      </x:c>
      <x:c r="I17" s="42" t="n">
        <x:v>8</x:v>
      </x:c>
      <x:c r="J17" s="42" t="n">
        <x:v>9</x:v>
      </x:c>
      <x:c r="K17" s="42" t="n">
        <x:v>6.5</x:v>
      </x:c>
      <x:c r="L17" s="42" t="n">
        <x:v>8</x:v>
      </x:c>
      <x:c r="M17" s="42" t="n">
        <x:v>8.5</x:v>
      </x:c>
      <x:c r="N17" s="42" t="n">
        <x:v>8.5</x:v>
      </x:c>
      <x:c r="O17" s="26" t="str">
        <x:v>Completed</x:v>
      </x:c>
      <x:c r="P17" s="23" t="str"/>
      <x:c r="Q17" s="23" t="str"/>
      <x:c r="R17" s="23" t="str"/>
    </x:row>
    <x:row r="18">
      <x:c r="A18" s="26" t="n">
        <x:v>15</x:v>
      </x:c>
      <x:c r="B18" s="26" t="str">
        <x:v>TTB</x:v>
      </x:c>
      <x:c r="C18" s="26" t="str">
        <x:v>Banking</x:v>
      </x:c>
      <x:c r="D18" s="26" t="str">
        <x:v>Fair Value</x:v>
      </x:c>
      <x:c r="E18" s="26" t="str">
        <x:v>Dividend | Capital Return | Synergy | Bank</x:v>
      </x:c>
      <x:c r="F18" s="42" t="n">
        <x:v>8.5</x:v>
      </x:c>
      <x:c r="G18" s="42" t="n">
        <x:v>8</x:v>
      </x:c>
      <x:c r="H18" s="42" t="n">
        <x:v>8.5</x:v>
      </x:c>
      <x:c r="I18" s="42" t="n">
        <x:v>6.5</x:v>
      </x:c>
      <x:c r="J18" s="42" t="n">
        <x:v>9</x:v>
      </x:c>
      <x:c r="K18" s="42" t="n">
        <x:v>6</x:v>
      </x:c>
      <x:c r="L18" s="42" t="n">
        <x:v>7.5</x:v>
      </x:c>
      <x:c r="M18" s="42" t="n">
        <x:v>7.5</x:v>
      </x:c>
      <x:c r="N18" s="42" t="n">
        <x:v>7.69</x:v>
      </x:c>
      <x:c r="O18" s="26" t="str">
        <x:v>Completed</x:v>
      </x:c>
      <x:c r="P18" s="23" t="str"/>
      <x:c r="Q18" s="23" t="str"/>
      <x:c r="R18" s="23" t="str"/>
    </x:row>
    <x:row r="19">
      <x:c r="A19" s="26" t="n">
        <x:v>16</x:v>
      </x:c>
      <x:c r="B19" s="26" t="str">
        <x:v>CPN</x:v>
      </x:c>
      <x:c r="C19" s="26" t="str">
        <x:v>Property Development</x:v>
      </x:c>
      <x:c r="D19" s="26" t="str">
        <x:v>Fair Value</x:v>
      </x:c>
      <x:c r="E19" s="26" t="str">
        <x:v>Moat | Recurring Income | Mixed-use | Growth</x:v>
      </x:c>
      <x:c r="F19" s="42" t="n">
        <x:v>9</x:v>
      </x:c>
      <x:c r="G19" s="42" t="n">
        <x:v>9.5</x:v>
      </x:c>
      <x:c r="H19" s="42" t="n">
        <x:v>9</x:v>
      </x:c>
      <x:c r="I19" s="42" t="n">
        <x:v>8.5</x:v>
      </x:c>
      <x:c r="J19" s="42" t="n">
        <x:v>7.5</x:v>
      </x:c>
      <x:c r="K19" s="42" t="n">
        <x:v>7</x:v>
      </x:c>
      <x:c r="L19" s="42" t="n">
        <x:v>8.5</x:v>
      </x:c>
      <x:c r="M19" s="42" t="n">
        <x:v>7</x:v>
      </x:c>
      <x:c r="N19" s="42" t="n">
        <x:v>8.25</x:v>
      </x:c>
      <x:c r="O19" s="26" t="str">
        <x:v>Completed</x:v>
      </x:c>
      <x:c r="P19" s="23" t="str"/>
      <x:c r="Q19" s="23" t="str"/>
      <x:c r="R19" s="23" t="str"/>
    </x:row>
    <x:row r="20">
      <x:c r="A20" s="26" t="n">
        <x:v>17</x:v>
      </x:c>
      <x:c r="B20" s="26" t="str">
        <x:v>PTTGC</x:v>
      </x:c>
      <x:c r="C20" s="26" t="str">
        <x:v>Petrochemicals &amp; Chemicals</x:v>
      </x:c>
      <x:c r="D20" s="26" t="str">
        <x:v>Fair Value</x:v>
      </x:c>
      <x:c r="E20" s="26" t="str">
        <x:v>Recovery | Asset Value | JV Optionality | Cyclical</x:v>
      </x:c>
      <x:c r="F20" s="42" t="n">
        <x:v>7.5</x:v>
      </x:c>
      <x:c r="G20" s="42" t="n">
        <x:v>7.5</x:v>
      </x:c>
      <x:c r="H20" s="42" t="n">
        <x:v>7.5</x:v>
      </x:c>
      <x:c r="I20" s="42" t="n">
        <x:v>6.5</x:v>
      </x:c>
      <x:c r="J20" s="42" t="n">
        <x:v>6.5</x:v>
      </x:c>
      <x:c r="K20" s="42" t="n">
        <x:v>6</x:v>
      </x:c>
      <x:c r="L20" s="42" t="n">
        <x:v>8</x:v>
      </x:c>
      <x:c r="M20" s="42" t="n">
        <x:v>5</x:v>
      </x:c>
      <x:c r="N20" s="42" t="n">
        <x:v>6.81</x:v>
      </x:c>
      <x:c r="O20" s="26" t="str">
        <x:v>Completed</x:v>
      </x:c>
      <x:c r="P20" s="23" t="str"/>
      <x:c r="Q20" s="23" t="str"/>
      <x:c r="R20" s="23" t="str"/>
    </x:row>
    <x:row r="21">
      <x:c r="A21" s="26" t="n">
        <x:v>18</x:v>
      </x:c>
      <x:c r="B21" s="26" t="str">
        <x:v>CRC</x:v>
      </x:c>
      <x:c r="C21" s="26" t="str">
        <x:v>Commerce</x:v>
      </x:c>
      <x:c r="D21" s="26" t="str">
        <x:v>Fair Value</x:v>
      </x:c>
      <x:c r="E21" s="26" t="str">
        <x:v>Omnichannel | Central Ecosystem | Margin Recovery | Regional Growth</x:v>
      </x:c>
      <x:c r="F21" s="42" t="n">
        <x:v>8.5</x:v>
      </x:c>
      <x:c r="G21" s="42" t="n">
        <x:v>8.5</x:v>
      </x:c>
      <x:c r="H21" s="42" t="n">
        <x:v>8.5</x:v>
      </x:c>
      <x:c r="I21" s="42" t="n">
        <x:v>8</x:v>
      </x:c>
      <x:c r="J21" s="42" t="n">
        <x:v>7.5</x:v>
      </x:c>
      <x:c r="K21" s="42" t="n">
        <x:v>6.5</x:v>
      </x:c>
      <x:c r="L21" s="42" t="n">
        <x:v>8</x:v>
      </x:c>
      <x:c r="M21" s="42" t="n">
        <x:v>7</x:v>
      </x:c>
      <x:c r="N21" s="42" t="n">
        <x:v>7.81</x:v>
      </x:c>
      <x:c r="O21" s="26" t="str">
        <x:v>Completed</x:v>
      </x:c>
      <x:c r="P21" s="23" t="str"/>
      <x:c r="Q21" s="23" t="str"/>
      <x:c r="R21" s="23" t="str"/>
    </x:row>
    <x:row r="22">
      <x:c r="A22" s="26" t="n">
        <x:v>19</x:v>
      </x:c>
      <x:c r="B22" s="26" t="str">
        <x:v>CPF</x:v>
      </x:c>
      <x:c r="C22" s="26" t="str">
        <x:v>Food &amp; Beverage</x:v>
      </x:c>
      <x:c r="D22" s="26" t="str">
        <x:v>Cheap</x:v>
      </x:c>
      <x:c r="E22" s="26" t="str">
        <x:v>Global Food | Vertical Integration | Dividend | Cyclical</x:v>
      </x:c>
      <x:c r="F22" s="42" t="n">
        <x:v>8</x:v>
      </x:c>
      <x:c r="G22" s="42" t="n">
        <x:v>8.5</x:v>
      </x:c>
      <x:c r="H22" s="42" t="n">
        <x:v>8</x:v>
      </x:c>
      <x:c r="I22" s="42" t="n">
        <x:v>6</x:v>
      </x:c>
      <x:c r="J22" s="42" t="n">
        <x:v>6.5</x:v>
      </x:c>
      <x:c r="K22" s="42" t="n">
        <x:v>8</x:v>
      </x:c>
      <x:c r="L22" s="42" t="n">
        <x:v>6.5</x:v>
      </x:c>
      <x:c r="M22" s="42" t="n">
        <x:v>5.5</x:v>
      </x:c>
      <x:c r="N22" s="42" t="n">
        <x:v>7.13</x:v>
      </x:c>
      <x:c r="O22" s="26" t="str">
        <x:v>Completed</x:v>
      </x:c>
      <x:c r="P22" s="23" t="str"/>
      <x:c r="Q22" s="23" t="str"/>
      <x:c r="R22" s="23" t="str"/>
    </x:row>
    <x:row r="23">
      <x:c r="A23" s="26" t="n">
        <x:v>20</x:v>
      </x:c>
      <x:c r="B23" s="26" t="str">
        <x:v>TOP</x:v>
      </x:c>
      <x:c r="C23" s="26" t="str">
        <x:v>Energy &amp; Utilities</x:v>
      </x:c>
      <x:c r="D23" s="26" t="str">
        <x:v>Fair Value</x:v>
      </x:c>
      <x:c r="E23" s="26" t="str">
        <x:v>Refining Moat | Cyclical | CFP Optionality | High Leverage</x:v>
      </x:c>
      <x:c r="F23" s="42" t="n">
        <x:v>8</x:v>
      </x:c>
      <x:c r="G23" s="42" t="n">
        <x:v>8.5</x:v>
      </x:c>
      <x:c r="H23" s="42" t="n">
        <x:v>7.5</x:v>
      </x:c>
      <x:c r="I23" s="42" t="n">
        <x:v>7</x:v>
      </x:c>
      <x:c r="J23" s="42" t="n">
        <x:v>5.5</x:v>
      </x:c>
      <x:c r="K23" s="42" t="n">
        <x:v>6.5</x:v>
      </x:c>
      <x:c r="L23" s="42" t="n">
        <x:v>8</x:v>
      </x:c>
      <x:c r="M23" s="42" t="n">
        <x:v>5</x:v>
      </x:c>
      <x:c r="N23" s="42" t="n">
        <x:v>7</x:v>
      </x:c>
      <x:c r="O23" s="26" t="str">
        <x:v>Completed</x:v>
      </x:c>
      <x:c r="P23" s="23" t="str"/>
      <x:c r="Q23" s="23" t="str"/>
      <x:c r="R23" s="23" t="str"/>
    </x:row>
    <x:row r="24">
      <x:c r="A24" s="26" t="n">
        <x:v>21</x:v>
      </x:c>
      <x:c r="B24" s="26" t="str">
        <x:v>IVL</x:v>
      </x:c>
      <x:c r="C24" s="26" t="str">
        <x:v>Petrochemicals &amp; Chemicals</x:v>
      </x:c>
      <x:c r="D24" s="26" t="str">
        <x:v>Fair Value</x:v>
      </x:c>
      <x:c r="E24" s="26" t="str">
        <x:v>Global Scale | Recovery | Cost Reset | Deleveraging</x:v>
      </x:c>
      <x:c r="F24" s="42" t="n">
        <x:v>8</x:v>
      </x:c>
      <x:c r="G24" s="42" t="n">
        <x:v>8</x:v>
      </x:c>
      <x:c r="H24" s="42" t="n">
        <x:v>8</x:v>
      </x:c>
      <x:c r="I24" s="42" t="n">
        <x:v>7</x:v>
      </x:c>
      <x:c r="J24" s="42" t="n">
        <x:v>5.5</x:v>
      </x:c>
      <x:c r="K24" s="42" t="n">
        <x:v>6</x:v>
      </x:c>
      <x:c r="L24" s="42" t="n">
        <x:v>8</x:v>
      </x:c>
      <x:c r="M24" s="42" t="n">
        <x:v>5.5</x:v>
      </x:c>
      <x:c r="N24" s="42" t="n">
        <x:v>7</x:v>
      </x:c>
      <x:c r="O24" s="26" t="str">
        <x:v>Completed</x:v>
      </x:c>
      <x:c r="P24" s="23" t="str"/>
      <x:c r="Q24" s="23" t="str"/>
      <x:c r="R24" s="23" t="str"/>
    </x:row>
    <x:row r="25">
      <x:c r="A25" s="26" t="n">
        <x:v>22</x:v>
      </x:c>
      <x:c r="B25" s="26" t="str">
        <x:v>THAI</x:v>
      </x:c>
      <x:c r="C25" s="26" t="str">
        <x:v>Transportation &amp; Logistics</x:v>
      </x:c>
      <x:c r="D25" s="26" t="str">
        <x:v>Fair Value</x:v>
      </x:c>
      <x:c r="E25" s="26" t="str">
        <x:v>Turnaround | Flag Carrier | Yield Recovery | Fuel Risk</x:v>
      </x:c>
      <x:c r="F25" s="42" t="n">
        <x:v>8.5</x:v>
      </x:c>
      <x:c r="G25" s="42" t="n">
        <x:v>8.5</x:v>
      </x:c>
      <x:c r="H25" s="42" t="n">
        <x:v>8.5</x:v>
      </x:c>
      <x:c r="I25" s="42" t="n">
        <x:v>7.5</x:v>
      </x:c>
      <x:c r="J25" s="42" t="n">
        <x:v>6</x:v>
      </x:c>
      <x:c r="K25" s="42" t="n">
        <x:v>7.5</x:v>
      </x:c>
      <x:c r="L25" s="42" t="n">
        <x:v>8</x:v>
      </x:c>
      <x:c r="M25" s="42" t="n">
        <x:v>5.5</x:v>
      </x:c>
      <x:c r="N25" s="42" t="n">
        <x:v>7.56</x:v>
      </x:c>
      <x:c r="O25" s="26" t="str">
        <x:v>Completed</x:v>
      </x:c>
      <x:c r="P25" s="23" t="str"/>
      <x:c r="Q25" s="23" t="str"/>
      <x:c r="R25" s="23" t="str"/>
    </x:row>
    <x:row r="26">
      <x:c r="A26" s="26" t="n">
        <x:v>23</x:v>
      </x:c>
      <x:c r="B26" s="26" t="str">
        <x:v>BH</x:v>
      </x:c>
      <x:c r="C26" s="26" t="str">
        <x:v>Health Care Services</x:v>
      </x:c>
      <x:c r="D26" s="26" t="str">
        <x:v>Fair Value</x:v>
      </x:c>
      <x:c r="E26" s="26" t="str">
        <x:v>Moat | Medical Tourism | Net Cash | Premium Quality</x:v>
      </x:c>
      <x:c r="F26" s="42" t="n">
        <x:v>9.5</x:v>
      </x:c>
      <x:c r="G26" s="42" t="n">
        <x:v>9.5</x:v>
      </x:c>
      <x:c r="H26" s="42" t="n">
        <x:v>9</x:v>
      </x:c>
      <x:c r="I26" s="42" t="n">
        <x:v>7.5</x:v>
      </x:c>
      <x:c r="J26" s="42" t="n">
        <x:v>10</x:v>
      </x:c>
      <x:c r="K26" s="42" t="n">
        <x:v>6.5</x:v>
      </x:c>
      <x:c r="L26" s="42" t="n">
        <x:v>7.5</x:v>
      </x:c>
      <x:c r="M26" s="42" t="n">
        <x:v>8.5</x:v>
      </x:c>
      <x:c r="N26" s="42" t="n">
        <x:v>8.5</x:v>
      </x:c>
      <x:c r="O26" s="26" t="str">
        <x:v>Completed</x:v>
      </x:c>
      <x:c r="P26" s="23" t="str"/>
      <x:c r="Q26" s="23" t="str"/>
      <x:c r="R26" s="23" t="str"/>
    </x:row>
    <x:row r="27">
      <x:c r="A27" s="26" t="n">
        <x:v>24</x:v>
      </x:c>
      <x:c r="B27" s="26" t="str">
        <x:v>CPAXT</x:v>
      </x:c>
      <x:c r="C27" s="26" t="str">
        <x:v>Commerce</x:v>
      </x:c>
      <x:c r="D27" s="26" t="str">
        <x:v>Fair Value</x:v>
      </x:c>
      <x:c r="E27" s="26" t="str">
        <x:v>Wholesale | Retail | Scale | Synergy | Deleveraging</x:v>
      </x:c>
      <x:c r="F27" s="42" t="n">
        <x:v>8.5</x:v>
      </x:c>
      <x:c r="G27" s="42" t="n">
        <x:v>9</x:v>
      </x:c>
      <x:c r="H27" s="42" t="n">
        <x:v>8.5</x:v>
      </x:c>
      <x:c r="I27" s="42" t="n">
        <x:v>7</x:v>
      </x:c>
      <x:c r="J27" s="42" t="n">
        <x:v>6.5</x:v>
      </x:c>
      <x:c r="K27" s="42" t="n">
        <x:v>6.5</x:v>
      </x:c>
      <x:c r="L27" s="42" t="n">
        <x:v>8</x:v>
      </x:c>
      <x:c r="M27" s="42" t="n">
        <x:v>6.5</x:v>
      </x:c>
      <x:c r="N27" s="42" t="n">
        <x:v>7.63</x:v>
      </x:c>
      <x:c r="O27" s="26" t="str">
        <x:v>Completed</x:v>
      </x:c>
      <x:c r="P27" s="23" t="str"/>
      <x:c r="Q27" s="23" t="str"/>
      <x:c r="R27" s="23" t="str"/>
    </x:row>
    <x:row r="28">
      <x:c r="A28" s="26" t="n">
        <x:v>25</x:v>
      </x:c>
      <x:c r="B28" s="26" t="str">
        <x:v>OR</x:v>
      </x:c>
      <x:c r="C28" s="26" t="str">
        <x:v>Energy &amp; Utilities</x:v>
      </x:c>
      <x:c r="D28" s="26" t="str">
        <x:v>Expensive</x:v>
      </x:c>
      <x:c r="E28" s="26" t="str">
        <x:v>Retail Network | Café Amazon | EV Transition | Earnings Volatility</x:v>
      </x:c>
      <x:c r="F28" s="42" t="n">
        <x:v>8</x:v>
      </x:c>
      <x:c r="G28" s="42" t="n">
        <x:v>8.5</x:v>
      </x:c>
      <x:c r="H28" s="42" t="n">
        <x:v>8</x:v>
      </x:c>
      <x:c r="I28" s="42" t="n">
        <x:v>6.5</x:v>
      </x:c>
      <x:c r="J28" s="42" t="n">
        <x:v>8</x:v>
      </x:c>
      <x:c r="K28" s="42" t="n">
        <x:v>4.5</x:v>
      </x:c>
      <x:c r="L28" s="42" t="n">
        <x:v>7.5</x:v>
      </x:c>
      <x:c r="M28" s="42" t="n">
        <x:v>6</x:v>
      </x:c>
      <x:c r="N28" s="42" t="n">
        <x:v>7.13</x:v>
      </x:c>
      <x:c r="O28" s="26" t="str">
        <x:v>Completed</x:v>
      </x:c>
      <x:c r="P28" s="23" t="str"/>
      <x:c r="Q28" s="23" t="str"/>
      <x:c r="R28" s="23" t="str"/>
    </x:row>
    <x:row r="29">
      <x:c r="A29" s="26" t="n">
        <x:v>26</x:v>
      </x:c>
      <x:c r="B29" s="26" t="str">
        <x:v>GPSC</x:v>
      </x:c>
      <x:c r="C29" s="26" t="str">
        <x:v>Energy &amp; Utilities</x:v>
      </x:c>
      <x:c r="D29" s="26" t="str">
        <x:v>Fair Value</x:v>
      </x:c>
      <x:c r="E29" s="26" t="str">
        <x:v>Power Platform | Energy Transition | Battery | Deleveraging</x:v>
      </x:c>
      <x:c r="F29" s="42" t="n">
        <x:v>8.5</x:v>
      </x:c>
      <x:c r="G29" s="42" t="n">
        <x:v>8.5</x:v>
      </x:c>
      <x:c r="H29" s="42" t="n">
        <x:v>8.5</x:v>
      </x:c>
      <x:c r="I29" s="42" t="n">
        <x:v>7.5</x:v>
      </x:c>
      <x:c r="J29" s="42" t="n">
        <x:v>7</x:v>
      </x:c>
      <x:c r="K29" s="42" t="n">
        <x:v>6</x:v>
      </x:c>
      <x:c r="L29" s="42" t="n">
        <x:v>8</x:v>
      </x:c>
      <x:c r="M29" s="42" t="n">
        <x:v>6.5</x:v>
      </x:c>
      <x:c r="N29" s="42" t="n">
        <x:v>7.56</x:v>
      </x:c>
      <x:c r="O29" s="26" t="str">
        <x:v>Completed</x:v>
      </x:c>
      <x:c r="P29" s="23" t="str"/>
      <x:c r="Q29" s="23" t="str"/>
      <x:c r="R29" s="23" t="str"/>
    </x:row>
    <x:row r="30">
      <x:c r="A30" s="26" t="n">
        <x:v>27</x:v>
      </x:c>
      <x:c r="B30" s="26" t="str">
        <x:v>SCGP</x:v>
      </x:c>
      <x:c r="C30" s="26" t="str">
        <x:v>Packaging</x:v>
      </x:c>
      <x:c r="D30" s="26" t="str">
        <x:v>Fair Value</x:v>
      </x:c>
      <x:c r="E30" s="26" t="str">
        <x:v>ASEAN Packaging | Recovery | FCF | Dividend</x:v>
      </x:c>
      <x:c r="F30" s="42" t="n">
        <x:v>8.5</x:v>
      </x:c>
      <x:c r="G30" s="42" t="n">
        <x:v>8.5</x:v>
      </x:c>
      <x:c r="H30" s="42" t="n">
        <x:v>8.5</x:v>
      </x:c>
      <x:c r="I30" s="42" t="n">
        <x:v>7.5</x:v>
      </x:c>
      <x:c r="J30" s="42" t="n">
        <x:v>7.5</x:v>
      </x:c>
      <x:c r="K30" s="42" t="n">
        <x:v>6.5</x:v>
      </x:c>
      <x:c r="L30" s="42" t="n">
        <x:v>8</x:v>
      </x:c>
      <x:c r="M30" s="42" t="n">
        <x:v>7</x:v>
      </x:c>
      <x:c r="N30" s="42" t="n">
        <x:v>7.75</x:v>
      </x:c>
      <x:c r="O30" s="26" t="str">
        <x:v>Completed</x:v>
      </x:c>
      <x:c r="P30" s="23" t="str"/>
      <x:c r="Q30" s="23" t="str"/>
      <x:c r="R30" s="23" t="str"/>
    </x:row>
    <x:row r="31">
      <x:c r="A31" s="26" t="n">
        <x:v>28</x:v>
      </x:c>
      <x:c r="B31" s="26" t="str">
        <x:v>MINT</x:v>
      </x:c>
      <x:c r="C31" s="26" t="str">
        <x:v>Tourism &amp; Leisure</x:v>
      </x:c>
      <x:c r="D31" s="26" t="str">
        <x:v>Cheap</x:v>
      </x:c>
      <x:c r="E31" s="26" t="str">
        <x:v>Global Hotels | Food | Tourism Recovery | Deleveraging</x:v>
      </x:c>
      <x:c r="F31" s="42" t="n">
        <x:v>9</x:v>
      </x:c>
      <x:c r="G31" s="42" t="n">
        <x:v>8.5</x:v>
      </x:c>
      <x:c r="H31" s="42" t="n">
        <x:v>9</x:v>
      </x:c>
      <x:c r="I31" s="42" t="n">
        <x:v>8</x:v>
      </x:c>
      <x:c r="J31" s="42" t="n">
        <x:v>6.5</x:v>
      </x:c>
      <x:c r="K31" s="42" t="n">
        <x:v>8</x:v>
      </x:c>
      <x:c r="L31" s="42" t="n">
        <x:v>8</x:v>
      </x:c>
      <x:c r="M31" s="42" t="n">
        <x:v>6.5</x:v>
      </x:c>
      <x:c r="N31" s="42" t="n">
        <x:v>7.94</x:v>
      </x:c>
      <x:c r="O31" s="26" t="str">
        <x:v>Completed</x:v>
      </x:c>
      <x:c r="P31" s="23" t="str"/>
      <x:c r="Q31" s="23" t="str"/>
      <x:c r="R31" s="23" t="str"/>
    </x:row>
    <x:row r="32">
      <x:c r="A32" s="26" t="n">
        <x:v>29</x:v>
      </x:c>
      <x:c r="B32" s="26" t="str">
        <x:v>TISCO</x:v>
      </x:c>
      <x:c r="C32" s="26" t="str">
        <x:v>Banking</x:v>
      </x:c>
      <x:c r="D32" s="26" t="str">
        <x:v>Expensive</x:v>
      </x:c>
      <x:c r="E32" s="26" t="str">
        <x:v>Dividend | High ROE | Auto Finance | Strong Coverage</x:v>
      </x:c>
      <x:c r="F32" s="42" t="n">
        <x:v>8.5</x:v>
      </x:c>
      <x:c r="G32" s="42" t="n">
        <x:v>8</x:v>
      </x:c>
      <x:c r="H32" s="42" t="n">
        <x:v>8.5</x:v>
      </x:c>
      <x:c r="I32" s="42" t="n">
        <x:v>6</x:v>
      </x:c>
      <x:c r="J32" s="42" t="n">
        <x:v>9.5</x:v>
      </x:c>
      <x:c r="K32" s="42" t="n">
        <x:v>4.5</x:v>
      </x:c>
      <x:c r="L32" s="42" t="n">
        <x:v>6.5</x:v>
      </x:c>
      <x:c r="M32" s="42" t="n">
        <x:v>8</x:v>
      </x:c>
      <x:c r="N32" s="42" t="n">
        <x:v>7.44</x:v>
      </x:c>
      <x:c r="O32" s="26" t="str">
        <x:v>Completed</x:v>
      </x:c>
      <x:c r="P32" s="23" t="str"/>
      <x:c r="Q32" s="23" t="str"/>
      <x:c r="R32" s="23" t="str"/>
    </x:row>
    <x:row r="33">
      <x:c r="A33" s="26" t="n">
        <x:v>30</x:v>
      </x:c>
      <x:c r="B33" s="26" t="str">
        <x:v>AWC</x:v>
      </x:c>
      <x:c r="C33" s="26" t="str">
        <x:v>Property Development</x:v>
      </x:c>
      <x:c r="D33" s="26" t="str">
        <x:v>Fair Value</x:v>
      </x:c>
      <x:c r="E33" s="26" t="str">
        <x:v>Hospitality | Tourism | Asset Ramp-up | TCC Ecosystem</x:v>
      </x:c>
      <x:c r="F33" s="42" t="n">
        <x:v>8</x:v>
      </x:c>
      <x:c r="G33" s="42" t="n">
        <x:v>8</x:v>
      </x:c>
      <x:c r="H33" s="42" t="n">
        <x:v>8.5</x:v>
      </x:c>
      <x:c r="I33" s="42" t="n">
        <x:v>8</x:v>
      </x:c>
      <x:c r="J33" s="42" t="n">
        <x:v>5.5</x:v>
      </x:c>
      <x:c r="K33" s="42" t="n">
        <x:v>6.5</x:v>
      </x:c>
      <x:c r="L33" s="42" t="n">
        <x:v>8</x:v>
      </x:c>
      <x:c r="M33" s="42" t="n">
        <x:v>6</x:v>
      </x:c>
      <x:c r="N33" s="42" t="n">
        <x:v>7.31</x:v>
      </x:c>
      <x:c r="O33" s="26" t="str">
        <x:v>Completed</x:v>
      </x:c>
      <x:c r="P33" s="23" t="str"/>
      <x:c r="Q33" s="23" t="str"/>
      <x:c r="R33" s="23" t="str"/>
    </x:row>
    <x:row r="34">
      <x:c r="A34" s="26" t="n">
        <x:v>31</x:v>
      </x:c>
      <x:c r="B34" s="26" t="str">
        <x:v>BEM</x:v>
      </x:c>
      <x:c r="C34" s="26" t="str">
        <x:v>Transportation &amp; Logistics</x:v>
      </x:c>
      <x:c r="D34" s="26" t="str">
        <x:v>Expensive</x:v>
      </x:c>
      <x:c r="E34" s="26" t="str">
        <x:v>Concession Moat | Recurring Traffic | MRT | Long-duration Assets</x:v>
      </x:c>
      <x:c r="F34" s="42" t="n">
        <x:v>9</x:v>
      </x:c>
      <x:c r="G34" s="42" t="n">
        <x:v>9.5</x:v>
      </x:c>
      <x:c r="H34" s="42" t="n">
        <x:v>8.5</x:v>
      </x:c>
      <x:c r="I34" s="42" t="n">
        <x:v>6.5</x:v>
      </x:c>
      <x:c r="J34" s="42" t="n">
        <x:v>6</x:v>
      </x:c>
      <x:c r="K34" s="42" t="n">
        <x:v>4</x:v>
      </x:c>
      <x:c r="L34" s="42" t="n">
        <x:v>7.5</x:v>
      </x:c>
      <x:c r="M34" s="42" t="n">
        <x:v>7.5</x:v>
      </x:c>
      <x:c r="N34" s="42" t="n">
        <x:v>7.31</x:v>
      </x:c>
      <x:c r="O34" s="26" t="str">
        <x:v>Completed</x:v>
      </x:c>
      <x:c r="P34" s="23" t="str"/>
      <x:c r="Q34" s="23" t="str"/>
      <x:c r="R34" s="23" t="str"/>
    </x:row>
    <x:row r="35">
      <x:c r="A35" s="26" t="n">
        <x:v>32</x:v>
      </x:c>
      <x:c r="B35" s="26" t="str">
        <x:v>KCE</x:v>
      </x:c>
      <x:c r="C35" s="26" t="str">
        <x:v>Electronic Components</x:v>
      </x:c>
      <x:c r="D35" s="26" t="str">
        <x:v>Very Expensive</x:v>
      </x:c>
      <x:c r="E35" s="26" t="str">
        <x:v>Auto Electronics | Export | Recovery | Extreme Valuation</x:v>
      </x:c>
      <x:c r="F35" s="42" t="n">
        <x:v>8</x:v>
      </x:c>
      <x:c r="G35" s="42" t="n">
        <x:v>8</x:v>
      </x:c>
      <x:c r="H35" s="42" t="n">
        <x:v>8</x:v>
      </x:c>
      <x:c r="I35" s="42" t="n">
        <x:v>7.5</x:v>
      </x:c>
      <x:c r="J35" s="42" t="n">
        <x:v>9</x:v>
      </x:c>
      <x:c r="K35" s="42" t="n">
        <x:v>2</x:v>
      </x:c>
      <x:c r="L35" s="42" t="n">
        <x:v>7.5</x:v>
      </x:c>
      <x:c r="M35" s="42" t="n">
        <x:v>5</x:v>
      </x:c>
      <x:c r="N35" s="42" t="n">
        <x:v>6.88</x:v>
      </x:c>
      <x:c r="O35" s="26" t="str">
        <x:v>Completed</x:v>
      </x:c>
      <x:c r="P35" s="23" t="str"/>
      <x:c r="Q35" s="23" t="str"/>
      <x:c r="R35" s="23" t="str"/>
    </x:row>
    <x:row r="36">
      <x:c r="A36" s="26" t="n">
        <x:v>33</x:v>
      </x:c>
      <x:c r="B36" s="26" t="str">
        <x:v>KTC</x:v>
      </x:c>
      <x:c r="C36" s="26" t="str">
        <x:v>Finance &amp; Securities</x:v>
      </x:c>
      <x:c r="D36" s="26" t="str">
        <x:v>Fair Value</x:v>
      </x:c>
      <x:c r="E36" s="26" t="str">
        <x:v>Credit Card | High ROE | Asset Quality | Digital/Data</x:v>
      </x:c>
      <x:c r="F36" s="42" t="n">
        <x:v>9</x:v>
      </x:c>
      <x:c r="G36" s="42" t="n">
        <x:v>8.5</x:v>
      </x:c>
      <x:c r="H36" s="42" t="n">
        <x:v>9</x:v>
      </x:c>
      <x:c r="I36" s="42" t="n">
        <x:v>7</x:v>
      </x:c>
      <x:c r="J36" s="42" t="n">
        <x:v>9.5</x:v>
      </x:c>
      <x:c r="K36" s="42" t="n">
        <x:v>7</x:v>
      </x:c>
      <x:c r="L36" s="42" t="n">
        <x:v>7.5</x:v>
      </x:c>
      <x:c r="M36" s="42" t="n">
        <x:v>8</x:v>
      </x:c>
      <x:c r="N36" s="42" t="n">
        <x:v>8.19</x:v>
      </x:c>
      <x:c r="O36" s="26" t="str">
        <x:v>Completed</x:v>
      </x:c>
      <x:c r="P36" s="23" t="str"/>
      <x:c r="Q36" s="23" t="str"/>
      <x:c r="R36" s="23" t="str"/>
    </x:row>
    <x:row r="37">
      <x:c r="A37" s="26" t="n">
        <x:v>34</x:v>
      </x:c>
      <x:c r="B37" s="26" t="str">
        <x:v>HMPRO</x:v>
      </x:c>
      <x:c r="C37" s="26" t="str">
        <x:v>Commerce</x:v>
      </x:c>
      <x:c r="D37" s="26" t="str">
        <x:v>Fair Value</x:v>
      </x:c>
      <x:c r="E37" s="26" t="str">
        <x:v>Brand | Store Network | Private Label | Defensive Retail</x:v>
      </x:c>
      <x:c r="F37" s="42" t="n">
        <x:v>8.5</x:v>
      </x:c>
      <x:c r="G37" s="42" t="n">
        <x:v>8.5</x:v>
      </x:c>
      <x:c r="H37" s="42" t="n">
        <x:v>8.5</x:v>
      </x:c>
      <x:c r="I37" s="42" t="n">
        <x:v>6.5</x:v>
      </x:c>
      <x:c r="J37" s="42" t="n">
        <x:v>8</x:v>
      </x:c>
      <x:c r="K37" s="42" t="n">
        <x:v>7</x:v>
      </x:c>
      <x:c r="L37" s="42" t="n">
        <x:v>7</x:v>
      </x:c>
      <x:c r="M37" s="42" t="n">
        <x:v>7.5</x:v>
      </x:c>
      <x:c r="N37" s="42" t="n">
        <x:v>7.75</x:v>
      </x:c>
      <x:c r="O37" s="26" t="str">
        <x:v>Completed</x:v>
      </x:c>
      <x:c r="P37" s="23" t="str"/>
      <x:c r="Q37" s="23" t="str"/>
      <x:c r="R37" s="23" t="str"/>
    </x:row>
    <x:row r="38">
      <x:c r="A38" s="26" t="n">
        <x:v>35</x:v>
      </x:c>
      <x:c r="B38" s="26" t="str">
        <x:v>RATCH</x:v>
      </x:c>
      <x:c r="C38" s="26" t="str">
        <x:v>Energy &amp; Utilities</x:v>
      </x:c>
      <x:c r="D38" s="26" t="str">
        <x:v>Cheap</x:v>
      </x:c>
      <x:c r="E38" s="26" t="str">
        <x:v>Contracted Power | Dividend | Asset Backing | Defensive</x:v>
      </x:c>
      <x:c r="F38" s="42" t="n">
        <x:v>8.5</x:v>
      </x:c>
      <x:c r="G38" s="42" t="n">
        <x:v>8.5</x:v>
      </x:c>
      <x:c r="H38" s="42" t="n">
        <x:v>8</x:v>
      </x:c>
      <x:c r="I38" s="42" t="n">
        <x:v>6.5</x:v>
      </x:c>
      <x:c r="J38" s="42" t="n">
        <x:v>7.5</x:v>
      </x:c>
      <x:c r="K38" s="42" t="n">
        <x:v>8</x:v>
      </x:c>
      <x:c r="L38" s="42" t="n">
        <x:v>7</x:v>
      </x:c>
      <x:c r="M38" s="42" t="n">
        <x:v>7</x:v>
      </x:c>
      <x:c r="N38" s="42" t="n">
        <x:v>7.81</x:v>
      </x:c>
      <x:c r="O38" s="26" t="str">
        <x:v>Completed</x:v>
      </x:c>
      <x:c r="P38" s="23" t="str"/>
      <x:c r="Q38" s="23" t="str"/>
      <x:c r="R38" s="23" t="str"/>
    </x:row>
    <x:row r="39">
      <x:c r="A39" s="23" t="str"/>
      <x:c r="B39" s="23" t="str"/>
      <x:c r="C39" s="23" t="str"/>
      <x:c r="D39" s="23" t="str"/>
      <x:c r="E39" s="23" t="str"/>
      <x:c r="F39" s="44" t="str"/>
      <x:c r="G39" s="44" t="str"/>
      <x:c r="H39" s="44" t="str"/>
      <x:c r="I39" s="44" t="str"/>
      <x:c r="J39" s="44" t="str"/>
      <x:c r="K39" s="44" t="str"/>
      <x:c r="L39" s="44" t="str"/>
      <x:c r="M39" s="44" t="str"/>
      <x:c r="N39" s="44" t="str"/>
      <x:c r="O39" s="23" t="str"/>
      <x:c r="P39" s="23" t="str"/>
      <x:c r="Q39" s="23" t="str"/>
      <x:c r="R39" s="23" t="str"/>
    </x:row>
    <x:row r="40">
      <x:c r="A40" s="23" t="str"/>
      <x:c r="B40" s="23" t="str"/>
      <x:c r="C40" s="23" t="str"/>
      <x:c r="D40" s="23" t="str"/>
      <x:c r="E40" s="23" t="str"/>
      <x:c r="F40" s="44" t="str"/>
      <x:c r="G40" s="44" t="str"/>
      <x:c r="H40" s="44" t="str"/>
      <x:c r="I40" s="44" t="str"/>
      <x:c r="J40" s="44" t="str"/>
      <x:c r="K40" s="44" t="str"/>
      <x:c r="L40" s="44" t="str"/>
      <x:c r="M40" s="44" t="str"/>
      <x:c r="N40" s="44" t="str"/>
      <x:c r="O40" s="23" t="str"/>
      <x:c r="P40" s="23" t="str"/>
      <x:c r="Q40" s="23" t="str"/>
      <x:c r="R40" s="23" t="str"/>
    </x:row>
    <x:row r="41">
      <x:c r="A41" s="23" t="str"/>
      <x:c r="B41" s="23" t="str"/>
      <x:c r="C41" s="23" t="str"/>
      <x:c r="D41" s="23" t="str"/>
      <x:c r="E41" s="23" t="str"/>
      <x:c r="F41" s="44" t="str"/>
      <x:c r="G41" s="44" t="str"/>
      <x:c r="H41" s="44" t="str"/>
      <x:c r="I41" s="44" t="str"/>
      <x:c r="J41" s="44" t="str"/>
      <x:c r="K41" s="44" t="str"/>
      <x:c r="L41" s="44" t="str"/>
      <x:c r="M41" s="44" t="str"/>
      <x:c r="N41" s="44" t="str"/>
      <x:c r="O41" s="23" t="str"/>
      <x:c r="P41" s="23" t="str"/>
      <x:c r="Q41" s="23" t="str"/>
      <x:c r="R41" s="23" t="str"/>
    </x:row>
    <x:row r="42">
      <x:c r="A42" s="23" t="str"/>
      <x:c r="B42" s="23" t="str"/>
      <x:c r="C42" s="23" t="str"/>
      <x:c r="D42" s="23" t="str"/>
      <x:c r="E42" s="23" t="str"/>
      <x:c r="F42" s="44" t="str"/>
      <x:c r="G42" s="44" t="str"/>
      <x:c r="H42" s="44" t="str"/>
      <x:c r="I42" s="44" t="str"/>
      <x:c r="J42" s="44" t="str"/>
      <x:c r="K42" s="44" t="str"/>
      <x:c r="L42" s="44" t="str"/>
      <x:c r="M42" s="44" t="str"/>
      <x:c r="N42" s="44" t="str"/>
      <x:c r="O42" s="23" t="str"/>
      <x:c r="P42" s="23" t="str"/>
      <x:c r="Q42" s="23" t="str"/>
      <x:c r="R42" s="23" t="str"/>
    </x:row>
    <x:row r="43">
      <x:c r="A43" s="23" t="str"/>
      <x:c r="B43" s="23" t="str"/>
      <x:c r="C43" s="23" t="str"/>
      <x:c r="D43" s="23" t="str"/>
      <x:c r="E43" s="23" t="str"/>
      <x:c r="F43" s="44" t="str"/>
      <x:c r="G43" s="44" t="str"/>
      <x:c r="H43" s="44" t="str"/>
      <x:c r="I43" s="44" t="str"/>
      <x:c r="J43" s="44" t="str"/>
      <x:c r="K43" s="44" t="str"/>
      <x:c r="L43" s="44" t="str"/>
      <x:c r="M43" s="44" t="str"/>
      <x:c r="N43" s="44" t="str"/>
      <x:c r="O43" s="23" t="str"/>
      <x:c r="P43" s="23" t="str"/>
      <x:c r="Q43" s="23" t="str"/>
      <x:c r="R43" s="23" t="str"/>
    </x:row>
    <x:row r="44">
      <x:c r="A44" s="23" t="str"/>
      <x:c r="B44" s="23" t="str"/>
      <x:c r="C44" s="23" t="str"/>
      <x:c r="D44" s="23" t="str"/>
      <x:c r="E44" s="23" t="str"/>
      <x:c r="F44" s="44" t="str"/>
      <x:c r="G44" s="44" t="str"/>
      <x:c r="H44" s="44" t="str"/>
      <x:c r="I44" s="44" t="str"/>
      <x:c r="J44" s="44" t="str"/>
      <x:c r="K44" s="44" t="str"/>
      <x:c r="L44" s="44" t="str"/>
      <x:c r="M44" s="44" t="str"/>
      <x:c r="N44" s="44" t="str"/>
      <x:c r="O44" s="23" t="str"/>
      <x:c r="P44" s="23" t="str"/>
      <x:c r="Q44" s="23" t="str"/>
      <x:c r="R44" s="23" t="str"/>
    </x:row>
    <x:row r="45">
      <x:c r="A45" s="23" t="str"/>
      <x:c r="B45" s="23" t="str"/>
      <x:c r="C45" s="23" t="str"/>
      <x:c r="D45" s="23" t="str"/>
      <x:c r="E45" s="23" t="str"/>
      <x:c r="F45" s="44" t="str"/>
      <x:c r="G45" s="44" t="str"/>
      <x:c r="H45" s="44" t="str"/>
      <x:c r="I45" s="44" t="str"/>
      <x:c r="J45" s="44" t="str"/>
      <x:c r="K45" s="44" t="str"/>
      <x:c r="L45" s="44" t="str"/>
      <x:c r="M45" s="44" t="str"/>
      <x:c r="N45" s="44" t="str"/>
      <x:c r="O45" s="23" t="str"/>
      <x:c r="P45" s="23" t="str"/>
      <x:c r="Q45" s="23" t="str"/>
      <x:c r="R45" s="23" t="str"/>
    </x:row>
    <x:row r="46">
      <x:c r="A46" s="23" t="str"/>
      <x:c r="B46" s="23" t="str"/>
      <x:c r="C46" s="23" t="str"/>
      <x:c r="D46" s="23" t="str"/>
      <x:c r="E46" s="23" t="str"/>
      <x:c r="F46" s="44" t="str"/>
      <x:c r="G46" s="44" t="str"/>
      <x:c r="H46" s="44" t="str"/>
      <x:c r="I46" s="44" t="str"/>
      <x:c r="J46" s="44" t="str"/>
      <x:c r="K46" s="44" t="str"/>
      <x:c r="L46" s="44" t="str"/>
      <x:c r="M46" s="44" t="str"/>
      <x:c r="N46" s="44" t="str"/>
      <x:c r="O46" s="23" t="str"/>
      <x:c r="P46" s="23" t="str"/>
      <x:c r="Q46" s="23" t="str"/>
      <x:c r="R46" s="23" t="str"/>
    </x:row>
    <x:row r="47">
      <x:c r="A47" s="23" t="str"/>
      <x:c r="B47" s="23" t="str"/>
      <x:c r="C47" s="23" t="str"/>
      <x:c r="D47" s="23" t="str"/>
      <x:c r="E47" s="23" t="str"/>
      <x:c r="F47" s="44" t="str"/>
      <x:c r="G47" s="44" t="str"/>
      <x:c r="H47" s="44" t="str"/>
      <x:c r="I47" s="44" t="str"/>
      <x:c r="J47" s="44" t="str"/>
      <x:c r="K47" s="44" t="str"/>
      <x:c r="L47" s="44" t="str"/>
      <x:c r="M47" s="44" t="str"/>
      <x:c r="N47" s="44" t="str"/>
      <x:c r="O47" s="23" t="str"/>
      <x:c r="P47" s="23" t="str"/>
      <x:c r="Q47" s="23" t="str"/>
      <x:c r="R47" s="23" t="str"/>
    </x:row>
    <x:row r="48">
      <x:c r="A48" s="23" t="str"/>
      <x:c r="B48" s="23" t="str"/>
      <x:c r="C48" s="23" t="str"/>
      <x:c r="D48" s="23" t="str"/>
      <x:c r="E48" s="23" t="str"/>
      <x:c r="F48" s="44" t="str"/>
      <x:c r="G48" s="44" t="str"/>
      <x:c r="H48" s="44" t="str"/>
      <x:c r="I48" s="44" t="str"/>
      <x:c r="J48" s="44" t="str"/>
      <x:c r="K48" s="44" t="str"/>
      <x:c r="L48" s="44" t="str"/>
      <x:c r="M48" s="44" t="str"/>
      <x:c r="N48" s="44" t="str"/>
      <x:c r="O48" s="23" t="str"/>
      <x:c r="P48" s="23" t="str"/>
      <x:c r="Q48" s="23" t="str"/>
      <x:c r="R48" s="23" t="str"/>
    </x:row>
    <x:row r="49">
      <x:c r="A49" s="23" t="str"/>
      <x:c r="B49" s="23" t="str"/>
      <x:c r="C49" s="23" t="str"/>
      <x:c r="D49" s="23" t="str"/>
      <x:c r="E49" s="23" t="str"/>
      <x:c r="F49" s="44" t="str"/>
      <x:c r="G49" s="44" t="str"/>
      <x:c r="H49" s="44" t="str"/>
      <x:c r="I49" s="44" t="str"/>
      <x:c r="J49" s="44" t="str"/>
      <x:c r="K49" s="44" t="str"/>
      <x:c r="L49" s="44" t="str"/>
      <x:c r="M49" s="44" t="str"/>
      <x:c r="N49" s="44" t="str"/>
      <x:c r="O49" s="23" t="str"/>
      <x:c r="P49" s="23" t="str"/>
      <x:c r="Q49" s="23" t="str"/>
      <x:c r="R49" s="23" t="str"/>
    </x:row>
    <x:row r="50">
      <x:c r="A50" s="23" t="str"/>
      <x:c r="B50" s="23" t="str"/>
      <x:c r="C50" s="23" t="str"/>
      <x:c r="D50" s="23" t="str"/>
      <x:c r="E50" s="23" t="str"/>
      <x:c r="F50" s="44" t="str"/>
      <x:c r="G50" s="44" t="str"/>
      <x:c r="H50" s="44" t="str"/>
      <x:c r="I50" s="44" t="str"/>
      <x:c r="J50" s="44" t="str"/>
      <x:c r="K50" s="44" t="str"/>
      <x:c r="L50" s="44" t="str"/>
      <x:c r="M50" s="44" t="str"/>
      <x:c r="N50" s="44" t="str"/>
      <x:c r="O50" s="23" t="str"/>
      <x:c r="P50" s="23" t="str"/>
      <x:c r="Q50" s="23" t="str"/>
      <x:c r="R50" s="23" t="str"/>
    </x:row>
    <x:row r="51">
      <x:c r="A51" s="23" t="str"/>
      <x:c r="B51" s="23" t="str"/>
      <x:c r="C51" s="23" t="str"/>
      <x:c r="D51" s="23" t="str"/>
      <x:c r="E51" s="23" t="str"/>
      <x:c r="F51" s="44" t="str"/>
      <x:c r="G51" s="44" t="str"/>
      <x:c r="H51" s="44" t="str"/>
      <x:c r="I51" s="44" t="str"/>
      <x:c r="J51" s="44" t="str"/>
      <x:c r="K51" s="44" t="str"/>
      <x:c r="L51" s="44" t="str"/>
      <x:c r="M51" s="44" t="str"/>
      <x:c r="N51" s="44" t="str"/>
      <x:c r="O51" s="23" t="str"/>
      <x:c r="P51" s="23" t="str"/>
      <x:c r="Q51" s="23" t="str"/>
      <x:c r="R51" s="23" t="str"/>
    </x:row>
    <x:row r="52">
      <x:c r="A52" s="23" t="str"/>
      <x:c r="B52" s="23" t="str"/>
      <x:c r="C52" s="23" t="str"/>
      <x:c r="D52" s="23" t="str"/>
      <x:c r="E52" s="23" t="str"/>
      <x:c r="F52" s="44" t="str"/>
      <x:c r="G52" s="44" t="str"/>
      <x:c r="H52" s="44" t="str"/>
      <x:c r="I52" s="44" t="str"/>
      <x:c r="J52" s="44" t="str"/>
      <x:c r="K52" s="44" t="str"/>
      <x:c r="L52" s="44" t="str"/>
      <x:c r="M52" s="44" t="str"/>
      <x:c r="N52" s="44" t="str"/>
      <x:c r="O52" s="23" t="str"/>
      <x:c r="P52" s="23" t="str"/>
      <x:c r="Q52" s="23" t="str"/>
      <x:c r="R52" s="23" t="str"/>
    </x:row>
    <x:row r="53">
      <x:c r="A53" s="23" t="str"/>
      <x:c r="B53" s="23" t="str"/>
      <x:c r="C53" s="23" t="str"/>
      <x:c r="D53" s="23" t="str"/>
      <x:c r="E53" s="23" t="str"/>
      <x:c r="F53" s="44" t="str"/>
      <x:c r="G53" s="44" t="str"/>
      <x:c r="H53" s="44" t="str"/>
      <x:c r="I53" s="44" t="str"/>
      <x:c r="J53" s="44" t="str"/>
      <x:c r="K53" s="44" t="str"/>
      <x:c r="L53" s="44" t="str"/>
      <x:c r="M53" s="44" t="str"/>
      <x:c r="N53" s="44" t="str"/>
      <x:c r="O53" s="23" t="str"/>
      <x:c r="P53" s="23" t="str"/>
      <x:c r="Q53" s="23" t="str"/>
      <x:c r="R53" s="23" t="str"/>
    </x:row>
    <x:row r="54">
      <x:c r="A54" s="23" t="str"/>
      <x:c r="B54" s="23" t="str"/>
      <x:c r="C54" s="23" t="str"/>
      <x:c r="D54" s="23" t="str"/>
      <x:c r="E54" s="23" t="str"/>
      <x:c r="F54" s="44" t="str"/>
      <x:c r="G54" s="44" t="str"/>
      <x:c r="H54" s="44" t="str"/>
      <x:c r="I54" s="44" t="str"/>
      <x:c r="J54" s="44" t="str"/>
      <x:c r="K54" s="44" t="str"/>
      <x:c r="L54" s="44" t="str"/>
      <x:c r="M54" s="44" t="str"/>
      <x:c r="N54" s="44" t="str"/>
      <x:c r="O54" s="23" t="str"/>
      <x:c r="P54" s="23" t="str"/>
      <x:c r="Q54" s="23" t="str"/>
      <x:c r="R54" s="23" t="str"/>
    </x:row>
    <x:row r="55">
      <x:c r="A55" s="23" t="str"/>
      <x:c r="B55" s="23" t="str"/>
      <x:c r="C55" s="23" t="str"/>
      <x:c r="D55" s="23" t="str"/>
      <x:c r="E55" s="23" t="str"/>
      <x:c r="F55" s="44" t="str"/>
      <x:c r="G55" s="44" t="str"/>
      <x:c r="H55" s="44" t="str"/>
      <x:c r="I55" s="44" t="str"/>
      <x:c r="J55" s="44" t="str"/>
      <x:c r="K55" s="44" t="str"/>
      <x:c r="L55" s="44" t="str"/>
      <x:c r="M55" s="44" t="str"/>
      <x:c r="N55" s="44" t="str"/>
      <x:c r="O55" s="23" t="str"/>
      <x:c r="P55" s="23" t="str"/>
      <x:c r="Q55" s="23" t="str"/>
      <x:c r="R55" s="23" t="str"/>
    </x:row>
    <x:row r="56">
      <x:c r="A56" s="23" t="str"/>
      <x:c r="B56" s="23" t="str"/>
      <x:c r="C56" s="23" t="str"/>
      <x:c r="D56" s="23" t="str"/>
      <x:c r="E56" s="23" t="str"/>
      <x:c r="F56" s="44" t="str"/>
      <x:c r="G56" s="44" t="str"/>
      <x:c r="H56" s="44" t="str"/>
      <x:c r="I56" s="44" t="str"/>
      <x:c r="J56" s="44" t="str"/>
      <x:c r="K56" s="44" t="str"/>
      <x:c r="L56" s="44" t="str"/>
      <x:c r="M56" s="44" t="str"/>
      <x:c r="N56" s="44" t="str"/>
      <x:c r="O56" s="23" t="str"/>
      <x:c r="P56" s="23" t="str"/>
      <x:c r="Q56" s="23" t="str"/>
      <x:c r="R56" s="23" t="str"/>
    </x:row>
    <x:row r="57">
      <x:c r="A57" s="23" t="str"/>
      <x:c r="B57" s="23" t="str"/>
      <x:c r="C57" s="23" t="str"/>
      <x:c r="D57" s="23" t="str"/>
      <x:c r="E57" s="23" t="str"/>
      <x:c r="F57" s="44" t="str"/>
      <x:c r="G57" s="44" t="str"/>
      <x:c r="H57" s="44" t="str"/>
      <x:c r="I57" s="44" t="str"/>
      <x:c r="J57" s="44" t="str"/>
      <x:c r="K57" s="44" t="str"/>
      <x:c r="L57" s="44" t="str"/>
      <x:c r="M57" s="44" t="str"/>
      <x:c r="N57" s="44" t="str"/>
      <x:c r="O57" s="23" t="str"/>
      <x:c r="P57" s="23" t="str"/>
      <x:c r="Q57" s="23" t="str"/>
      <x:c r="R57" s="23" t="str"/>
    </x:row>
    <x:row r="58">
      <x:c r="A58" s="23" t="str"/>
      <x:c r="B58" s="23" t="str"/>
      <x:c r="C58" s="23" t="str"/>
      <x:c r="D58" s="23" t="str"/>
      <x:c r="E58" s="23" t="str"/>
      <x:c r="F58" s="44" t="str"/>
      <x:c r="G58" s="44" t="str"/>
      <x:c r="H58" s="44" t="str"/>
      <x:c r="I58" s="44" t="str"/>
      <x:c r="J58" s="44" t="str"/>
      <x:c r="K58" s="44" t="str"/>
      <x:c r="L58" s="44" t="str"/>
      <x:c r="M58" s="44" t="str"/>
      <x:c r="N58" s="44" t="str"/>
      <x:c r="O58" s="23" t="str"/>
      <x:c r="P58" s="23" t="str"/>
      <x:c r="Q58" s="23" t="str"/>
      <x:c r="R58" s="23" t="str"/>
    </x:row>
    <x:row r="59">
      <x:c r="A59" s="23" t="str"/>
      <x:c r="B59" s="23" t="str"/>
      <x:c r="C59" s="23" t="str"/>
      <x:c r="D59" s="23" t="str"/>
      <x:c r="E59" s="23" t="str"/>
      <x:c r="F59" s="44" t="str"/>
      <x:c r="G59" s="44" t="str"/>
      <x:c r="H59" s="44" t="str"/>
      <x:c r="I59" s="44" t="str"/>
      <x:c r="J59" s="44" t="str"/>
      <x:c r="K59" s="44" t="str"/>
      <x:c r="L59" s="44" t="str"/>
      <x:c r="M59" s="44" t="str"/>
      <x:c r="N59" s="44" t="str"/>
      <x:c r="O59" s="23" t="str"/>
      <x:c r="P59" s="23" t="str"/>
      <x:c r="Q59" s="23" t="str"/>
      <x:c r="R59" s="23" t="str"/>
    </x:row>
    <x:row r="60">
      <x:c r="A60" s="23" t="str"/>
      <x:c r="B60" s="23" t="str"/>
      <x:c r="C60" s="23" t="str"/>
      <x:c r="D60" s="23" t="str"/>
      <x:c r="E60" s="23" t="str"/>
      <x:c r="F60" s="44" t="str"/>
      <x:c r="G60" s="44" t="str"/>
      <x:c r="H60" s="44" t="str"/>
      <x:c r="I60" s="44" t="str"/>
      <x:c r="J60" s="44" t="str"/>
      <x:c r="K60" s="44" t="str"/>
      <x:c r="L60" s="44" t="str"/>
      <x:c r="M60" s="44" t="str"/>
      <x:c r="N60" s="44" t="str"/>
      <x:c r="O60" s="23" t="str"/>
      <x:c r="P60" s="23" t="str"/>
      <x:c r="Q60" s="23" t="str"/>
      <x:c r="R60" s="23" t="str"/>
    </x:row>
    <x:row r="61">
      <x:c r="A61" s="23" t="str"/>
      <x:c r="B61" s="23" t="str"/>
      <x:c r="C61" s="23" t="str"/>
      <x:c r="D61" s="23" t="str"/>
      <x:c r="E61" s="23" t="str"/>
      <x:c r="F61" s="44" t="str"/>
      <x:c r="G61" s="44" t="str"/>
      <x:c r="H61" s="44" t="str"/>
      <x:c r="I61" s="44" t="str"/>
      <x:c r="J61" s="44" t="str"/>
      <x:c r="K61" s="44" t="str"/>
      <x:c r="L61" s="44" t="str"/>
      <x:c r="M61" s="44" t="str"/>
      <x:c r="N61" s="44" t="str"/>
      <x:c r="O61" s="23" t="str"/>
      <x:c r="P61" s="23" t="str"/>
      <x:c r="Q61" s="23" t="str"/>
      <x:c r="R61" s="23" t="str"/>
    </x:row>
    <x:row r="62">
      <x:c r="A62" s="23" t="str"/>
      <x:c r="B62" s="23" t="str"/>
      <x:c r="C62" s="23" t="str"/>
      <x:c r="D62" s="23" t="str"/>
      <x:c r="E62" s="23" t="str"/>
      <x:c r="F62" s="44" t="str"/>
      <x:c r="G62" s="44" t="str"/>
      <x:c r="H62" s="44" t="str"/>
      <x:c r="I62" s="44" t="str"/>
      <x:c r="J62" s="44" t="str"/>
      <x:c r="K62" s="44" t="str"/>
      <x:c r="L62" s="44" t="str"/>
      <x:c r="M62" s="44" t="str"/>
      <x:c r="N62" s="44" t="str"/>
      <x:c r="O62" s="23" t="str"/>
      <x:c r="P62" s="23" t="str"/>
      <x:c r="Q62" s="23" t="str"/>
      <x:c r="R62" s="23" t="str"/>
    </x:row>
    <x:row r="63">
      <x:c r="A63" s="23" t="str"/>
      <x:c r="B63" s="23" t="str"/>
      <x:c r="C63" s="23" t="str"/>
      <x:c r="D63" s="23" t="str"/>
      <x:c r="E63" s="23" t="str"/>
      <x:c r="F63" s="44" t="str"/>
      <x:c r="G63" s="44" t="str"/>
      <x:c r="H63" s="44" t="str"/>
      <x:c r="I63" s="44" t="str"/>
      <x:c r="J63" s="44" t="str"/>
      <x:c r="K63" s="44" t="str"/>
      <x:c r="L63" s="44" t="str"/>
      <x:c r="M63" s="44" t="str"/>
      <x:c r="N63" s="44" t="str"/>
      <x:c r="O63" s="23" t="str"/>
      <x:c r="P63" s="23" t="str"/>
      <x:c r="Q63" s="23" t="str"/>
      <x:c r="R63" s="23" t="str"/>
    </x:row>
    <x:row r="64">
      <x:c r="A64" s="23" t="str"/>
      <x:c r="B64" s="23" t="str"/>
      <x:c r="C64" s="23" t="str"/>
      <x:c r="D64" s="23" t="str"/>
      <x:c r="E64" s="23" t="str"/>
      <x:c r="F64" s="44" t="str"/>
      <x:c r="G64" s="44" t="str"/>
      <x:c r="H64" s="44" t="str"/>
      <x:c r="I64" s="44" t="str"/>
      <x:c r="J64" s="44" t="str"/>
      <x:c r="K64" s="44" t="str"/>
      <x:c r="L64" s="44" t="str"/>
      <x:c r="M64" s="44" t="str"/>
      <x:c r="N64" s="44" t="str"/>
      <x:c r="O64" s="23" t="str"/>
      <x:c r="P64" s="23" t="str"/>
      <x:c r="Q64" s="23" t="str"/>
      <x:c r="R64" s="23" t="str"/>
    </x:row>
    <x:row r="65">
      <x:c r="A65" s="23" t="str"/>
      <x:c r="B65" s="23" t="str"/>
      <x:c r="C65" s="23" t="str"/>
      <x:c r="D65" s="23" t="str"/>
      <x:c r="E65" s="23" t="str"/>
      <x:c r="F65" s="44" t="str"/>
      <x:c r="G65" s="44" t="str"/>
      <x:c r="H65" s="44" t="str"/>
      <x:c r="I65" s="44" t="str"/>
      <x:c r="J65" s="44" t="str"/>
      <x:c r="K65" s="44" t="str"/>
      <x:c r="L65" s="44" t="str"/>
      <x:c r="M65" s="44" t="str"/>
      <x:c r="N65" s="44" t="str"/>
      <x:c r="O65" s="23" t="str"/>
      <x:c r="P65" s="23" t="str"/>
      <x:c r="Q65" s="23" t="str"/>
      <x:c r="R65" s="23" t="str"/>
    </x:row>
    <x:row r="66">
      <x:c r="A66" s="23" t="str"/>
      <x:c r="B66" s="23" t="str"/>
      <x:c r="C66" s="23" t="str"/>
      <x:c r="D66" s="23" t="str"/>
      <x:c r="E66" s="23" t="str"/>
      <x:c r="F66" s="44" t="str"/>
      <x:c r="G66" s="44" t="str"/>
      <x:c r="H66" s="44" t="str"/>
      <x:c r="I66" s="44" t="str"/>
      <x:c r="J66" s="44" t="str"/>
      <x:c r="K66" s="44" t="str"/>
      <x:c r="L66" s="44" t="str"/>
      <x:c r="M66" s="44" t="str"/>
      <x:c r="N66" s="44" t="str"/>
      <x:c r="O66" s="23" t="str"/>
      <x:c r="P66" s="23" t="str"/>
      <x:c r="Q66" s="23" t="str"/>
      <x:c r="R66" s="23" t="str"/>
    </x:row>
    <x:row r="67">
      <x:c r="A67" s="23" t="str"/>
      <x:c r="B67" s="23" t="str"/>
      <x:c r="C67" s="23" t="str"/>
      <x:c r="D67" s="23" t="str"/>
      <x:c r="E67" s="23" t="str"/>
      <x:c r="F67" s="44" t="str"/>
      <x:c r="G67" s="44" t="str"/>
      <x:c r="H67" s="44" t="str"/>
      <x:c r="I67" s="44" t="str"/>
      <x:c r="J67" s="44" t="str"/>
      <x:c r="K67" s="44" t="str"/>
      <x:c r="L67" s="44" t="str"/>
      <x:c r="M67" s="44" t="str"/>
      <x:c r="N67" s="44" t="str"/>
      <x:c r="O67" s="23" t="str"/>
      <x:c r="P67" s="23" t="str"/>
      <x:c r="Q67" s="23" t="str"/>
      <x:c r="R67" s="23" t="str"/>
    </x:row>
    <x:row r="68">
      <x:c r="A68" s="23" t="str"/>
      <x:c r="B68" s="23" t="str"/>
      <x:c r="C68" s="23" t="str"/>
      <x:c r="D68" s="23" t="str"/>
      <x:c r="E68" s="23" t="str"/>
      <x:c r="F68" s="44" t="str"/>
      <x:c r="G68" s="44" t="str"/>
      <x:c r="H68" s="44" t="str"/>
      <x:c r="I68" s="44" t="str"/>
      <x:c r="J68" s="44" t="str"/>
      <x:c r="K68" s="44" t="str"/>
      <x:c r="L68" s="44" t="str"/>
      <x:c r="M68" s="44" t="str"/>
      <x:c r="N68" s="44" t="str"/>
      <x:c r="O68" s="23" t="str"/>
      <x:c r="P68" s="23" t="str"/>
      <x:c r="Q68" s="23" t="str"/>
      <x:c r="R68" s="23" t="str"/>
    </x:row>
    <x:row r="69">
      <x:c r="A69" s="23" t="str"/>
      <x:c r="B69" s="23" t="str"/>
      <x:c r="C69" s="23" t="str"/>
      <x:c r="D69" s="23" t="str"/>
      <x:c r="E69" s="23" t="str"/>
      <x:c r="F69" s="44" t="str"/>
      <x:c r="G69" s="44" t="str"/>
      <x:c r="H69" s="44" t="str"/>
      <x:c r="I69" s="44" t="str"/>
      <x:c r="J69" s="44" t="str"/>
      <x:c r="K69" s="44" t="str"/>
      <x:c r="L69" s="44" t="str"/>
      <x:c r="M69" s="44" t="str"/>
      <x:c r="N69" s="44" t="str"/>
      <x:c r="O69" s="23" t="str"/>
      <x:c r="P69" s="23" t="str"/>
      <x:c r="Q69" s="23" t="str"/>
      <x:c r="R69" s="23" t="str"/>
    </x:row>
    <x:row r="70">
      <x:c r="A70" s="23" t="str"/>
      <x:c r="B70" s="23" t="str"/>
      <x:c r="C70" s="23" t="str"/>
      <x:c r="D70" s="23" t="str"/>
      <x:c r="E70" s="23" t="str"/>
      <x:c r="F70" s="44" t="str"/>
      <x:c r="G70" s="44" t="str"/>
      <x:c r="H70" s="44" t="str"/>
      <x:c r="I70" s="44" t="str"/>
      <x:c r="J70" s="44" t="str"/>
      <x:c r="K70" s="44" t="str"/>
      <x:c r="L70" s="44" t="str"/>
      <x:c r="M70" s="44" t="str"/>
      <x:c r="N70" s="44" t="str"/>
      <x:c r="O70" s="23" t="str"/>
      <x:c r="P70" s="23" t="str"/>
      <x:c r="Q70" s="23" t="str"/>
      <x:c r="R70" s="23" t="str"/>
    </x:row>
    <x:row r="71">
      <x:c r="A71" s="23" t="str"/>
      <x:c r="B71" s="23" t="str"/>
      <x:c r="C71" s="23" t="str"/>
      <x:c r="D71" s="23" t="str"/>
      <x:c r="E71" s="23" t="str"/>
      <x:c r="F71" s="44" t="str"/>
      <x:c r="G71" s="44" t="str"/>
      <x:c r="H71" s="44" t="str"/>
      <x:c r="I71" s="44" t="str"/>
      <x:c r="J71" s="44" t="str"/>
      <x:c r="K71" s="44" t="str"/>
      <x:c r="L71" s="44" t="str"/>
      <x:c r="M71" s="44" t="str"/>
      <x:c r="N71" s="44" t="str"/>
      <x:c r="O71" s="23" t="str"/>
      <x:c r="P71" s="23" t="str"/>
      <x:c r="Q71" s="23" t="str"/>
      <x:c r="R71" s="23" t="str"/>
    </x:row>
    <x:row r="72">
      <x:c r="A72" s="23" t="str"/>
      <x:c r="B72" s="23" t="str"/>
      <x:c r="C72" s="23" t="str"/>
      <x:c r="D72" s="23" t="str"/>
      <x:c r="E72" s="23" t="str"/>
      <x:c r="F72" s="44" t="str"/>
      <x:c r="G72" s="44" t="str"/>
      <x:c r="H72" s="44" t="str"/>
      <x:c r="I72" s="44" t="str"/>
      <x:c r="J72" s="44" t="str"/>
      <x:c r="K72" s="44" t="str"/>
      <x:c r="L72" s="44" t="str"/>
      <x:c r="M72" s="44" t="str"/>
      <x:c r="N72" s="44" t="str"/>
      <x:c r="O72" s="23" t="str"/>
      <x:c r="P72" s="23" t="str"/>
      <x:c r="Q72" s="23" t="str"/>
      <x:c r="R72" s="23" t="str"/>
    </x:row>
    <x:row r="73">
      <x:c r="A73" s="23" t="str"/>
      <x:c r="B73" s="23" t="str"/>
      <x:c r="C73" s="23" t="str"/>
      <x:c r="D73" s="23" t="str"/>
      <x:c r="E73" s="23" t="str"/>
      <x:c r="F73" s="44" t="str"/>
      <x:c r="G73" s="44" t="str"/>
      <x:c r="H73" s="44" t="str"/>
      <x:c r="I73" s="44" t="str"/>
      <x:c r="J73" s="44" t="str"/>
      <x:c r="K73" s="44" t="str"/>
      <x:c r="L73" s="44" t="str"/>
      <x:c r="M73" s="44" t="str"/>
      <x:c r="N73" s="44" t="str"/>
      <x:c r="O73" s="23" t="str"/>
      <x:c r="P73" s="23" t="str"/>
      <x:c r="Q73" s="23" t="str"/>
      <x:c r="R73" s="23" t="str"/>
    </x:row>
    <x:row r="74">
      <x:c r="A74" s="23" t="str"/>
      <x:c r="B74" s="23" t="str"/>
      <x:c r="C74" s="23" t="str"/>
      <x:c r="D74" s="23" t="str"/>
      <x:c r="E74" s="23" t="str"/>
      <x:c r="F74" s="44" t="str"/>
      <x:c r="G74" s="44" t="str"/>
      <x:c r="H74" s="44" t="str"/>
      <x:c r="I74" s="44" t="str"/>
      <x:c r="J74" s="44" t="str"/>
      <x:c r="K74" s="44" t="str"/>
      <x:c r="L74" s="44" t="str"/>
      <x:c r="M74" s="44" t="str"/>
      <x:c r="N74" s="44" t="str"/>
      <x:c r="O74" s="23" t="str"/>
      <x:c r="P74" s="23" t="str"/>
      <x:c r="Q74" s="23" t="str"/>
      <x:c r="R74" s="23" t="str"/>
    </x:row>
    <x:row r="75">
      <x:c r="A75" s="23" t="str"/>
      <x:c r="B75" s="23" t="str"/>
      <x:c r="C75" s="23" t="str"/>
      <x:c r="D75" s="23" t="str"/>
      <x:c r="E75" s="23" t="str"/>
      <x:c r="F75" s="44" t="str"/>
      <x:c r="G75" s="44" t="str"/>
      <x:c r="H75" s="44" t="str"/>
      <x:c r="I75" s="44" t="str"/>
      <x:c r="J75" s="44" t="str"/>
      <x:c r="K75" s="44" t="str"/>
      <x:c r="L75" s="44" t="str"/>
      <x:c r="M75" s="44" t="str"/>
      <x:c r="N75" s="44" t="str"/>
      <x:c r="O75" s="23" t="str"/>
      <x:c r="P75" s="23" t="str"/>
      <x:c r="Q75" s="23" t="str"/>
      <x:c r="R75" s="23" t="str"/>
    </x:row>
    <x:row r="76">
      <x:c r="A76" s="23" t="str"/>
      <x:c r="B76" s="23" t="str"/>
      <x:c r="C76" s="23" t="str"/>
      <x:c r="D76" s="23" t="str"/>
      <x:c r="E76" s="23" t="str"/>
      <x:c r="F76" s="44" t="str"/>
      <x:c r="G76" s="44" t="str"/>
      <x:c r="H76" s="44" t="str"/>
      <x:c r="I76" s="44" t="str"/>
      <x:c r="J76" s="44" t="str"/>
      <x:c r="K76" s="44" t="str"/>
      <x:c r="L76" s="44" t="str"/>
      <x:c r="M76" s="44" t="str"/>
      <x:c r="N76" s="44" t="str"/>
      <x:c r="O76" s="23" t="str"/>
      <x:c r="P76" s="23" t="str"/>
      <x:c r="Q76" s="23" t="str"/>
      <x:c r="R76" s="23" t="str"/>
    </x:row>
    <x:row r="77">
      <x:c r="A77" s="23" t="str"/>
      <x:c r="B77" s="23" t="str"/>
      <x:c r="C77" s="23" t="str"/>
      <x:c r="D77" s="23" t="str"/>
      <x:c r="E77" s="23" t="str"/>
      <x:c r="F77" s="44" t="str"/>
      <x:c r="G77" s="44" t="str"/>
      <x:c r="H77" s="44" t="str"/>
      <x:c r="I77" s="44" t="str"/>
      <x:c r="J77" s="44" t="str"/>
      <x:c r="K77" s="44" t="str"/>
      <x:c r="L77" s="44" t="str"/>
      <x:c r="M77" s="44" t="str"/>
      <x:c r="N77" s="44" t="str"/>
      <x:c r="O77" s="23" t="str"/>
      <x:c r="P77" s="23" t="str"/>
      <x:c r="Q77" s="23" t="str"/>
      <x:c r="R77" s="23" t="str"/>
    </x:row>
    <x:row r="78">
      <x:c r="A78" s="23" t="str"/>
      <x:c r="B78" s="23" t="str"/>
      <x:c r="C78" s="23" t="str"/>
      <x:c r="D78" s="23" t="str"/>
      <x:c r="E78" s="23" t="str"/>
      <x:c r="F78" s="44" t="str"/>
      <x:c r="G78" s="44" t="str"/>
      <x:c r="H78" s="44" t="str"/>
      <x:c r="I78" s="44" t="str"/>
      <x:c r="J78" s="44" t="str"/>
      <x:c r="K78" s="44" t="str"/>
      <x:c r="L78" s="44" t="str"/>
      <x:c r="M78" s="44" t="str"/>
      <x:c r="N78" s="44" t="str"/>
      <x:c r="O78" s="23" t="str"/>
      <x:c r="P78" s="23" t="str"/>
      <x:c r="Q78" s="23" t="str"/>
      <x:c r="R78" s="23" t="str"/>
    </x:row>
    <x:row r="79">
      <x:c r="A79" s="23" t="str"/>
      <x:c r="B79" s="23" t="str"/>
      <x:c r="C79" s="23" t="str"/>
      <x:c r="D79" s="23" t="str"/>
      <x:c r="E79" s="23" t="str"/>
      <x:c r="F79" s="44" t="str"/>
      <x:c r="G79" s="44" t="str"/>
      <x:c r="H79" s="44" t="str"/>
      <x:c r="I79" s="44" t="str"/>
      <x:c r="J79" s="44" t="str"/>
      <x:c r="K79" s="44" t="str"/>
      <x:c r="L79" s="44" t="str"/>
      <x:c r="M79" s="44" t="str"/>
      <x:c r="N79" s="44" t="str"/>
      <x:c r="O79" s="23" t="str"/>
      <x:c r="P79" s="23" t="str"/>
      <x:c r="Q79" s="23" t="str"/>
      <x:c r="R79" s="23" t="str"/>
    </x:row>
    <x:row r="80">
      <x:c r="A80" s="23" t="str"/>
      <x:c r="B80" s="23" t="str"/>
      <x:c r="C80" s="23" t="str"/>
      <x:c r="D80" s="23" t="str"/>
      <x:c r="E80" s="23" t="str"/>
      <x:c r="F80" s="44" t="str"/>
      <x:c r="G80" s="44" t="str"/>
      <x:c r="H80" s="44" t="str"/>
      <x:c r="I80" s="44" t="str"/>
      <x:c r="J80" s="44" t="str"/>
      <x:c r="K80" s="44" t="str"/>
      <x:c r="L80" s="44" t="str"/>
      <x:c r="M80" s="44" t="str"/>
      <x:c r="N80" s="44" t="str"/>
      <x:c r="O80" s="23" t="str"/>
      <x:c r="P80" s="23" t="str"/>
      <x:c r="Q80" s="23" t="str"/>
      <x:c r="R80" s="23" t="str"/>
    </x:row>
    <x:row r="81">
      <x:c r="A81" s="23" t="str"/>
      <x:c r="B81" s="23" t="str"/>
      <x:c r="C81" s="23" t="str"/>
      <x:c r="D81" s="23" t="str"/>
      <x:c r="E81" s="23" t="str"/>
      <x:c r="F81" s="44" t="str"/>
      <x:c r="G81" s="44" t="str"/>
      <x:c r="H81" s="44" t="str"/>
      <x:c r="I81" s="44" t="str"/>
      <x:c r="J81" s="44" t="str"/>
      <x:c r="K81" s="44" t="str"/>
      <x:c r="L81" s="44" t="str"/>
      <x:c r="M81" s="44" t="str"/>
      <x:c r="N81" s="44" t="str"/>
      <x:c r="O81" s="23" t="str"/>
      <x:c r="P81" s="23" t="str"/>
      <x:c r="Q81" s="23" t="str"/>
      <x:c r="R81" s="23" t="str"/>
    </x:row>
    <x:row r="82">
      <x:c r="A82" s="23" t="str"/>
      <x:c r="B82" s="23" t="str"/>
      <x:c r="C82" s="23" t="str"/>
      <x:c r="D82" s="23" t="str"/>
      <x:c r="E82" s="23" t="str"/>
      <x:c r="F82" s="44" t="str"/>
      <x:c r="G82" s="44" t="str"/>
      <x:c r="H82" s="44" t="str"/>
      <x:c r="I82" s="44" t="str"/>
      <x:c r="J82" s="44" t="str"/>
      <x:c r="K82" s="44" t="str"/>
      <x:c r="L82" s="44" t="str"/>
      <x:c r="M82" s="44" t="str"/>
      <x:c r="N82" s="44" t="str"/>
      <x:c r="O82" s="23" t="str"/>
      <x:c r="P82" s="23" t="str"/>
      <x:c r="Q82" s="23" t="str"/>
      <x:c r="R82" s="23" t="str"/>
    </x:row>
    <x:row r="83">
      <x:c r="A83" s="23" t="str"/>
      <x:c r="B83" s="23" t="str"/>
      <x:c r="C83" s="23" t="str"/>
      <x:c r="D83" s="23" t="str"/>
      <x:c r="E83" s="23" t="str"/>
      <x:c r="F83" s="44" t="str"/>
      <x:c r="G83" s="44" t="str"/>
      <x:c r="H83" s="44" t="str"/>
      <x:c r="I83" s="44" t="str"/>
      <x:c r="J83" s="44" t="str"/>
      <x:c r="K83" s="44" t="str"/>
      <x:c r="L83" s="44" t="str"/>
      <x:c r="M83" s="44" t="str"/>
      <x:c r="N83" s="44" t="str"/>
      <x:c r="O83" s="23" t="str"/>
      <x:c r="P83" s="23" t="str"/>
      <x:c r="Q83" s="23" t="str"/>
      <x:c r="R83" s="23" t="str"/>
    </x:row>
    <x:row r="84">
      <x:c r="A84" s="23" t="str"/>
      <x:c r="B84" s="23" t="str"/>
      <x:c r="C84" s="23" t="str"/>
      <x:c r="D84" s="23" t="str"/>
      <x:c r="E84" s="23" t="str"/>
      <x:c r="F84" s="44" t="str"/>
      <x:c r="G84" s="44" t="str"/>
      <x:c r="H84" s="44" t="str"/>
      <x:c r="I84" s="44" t="str"/>
      <x:c r="J84" s="44" t="str"/>
      <x:c r="K84" s="44" t="str"/>
      <x:c r="L84" s="44" t="str"/>
      <x:c r="M84" s="44" t="str"/>
      <x:c r="N84" s="44" t="str"/>
      <x:c r="O84" s="23" t="str"/>
      <x:c r="P84" s="23" t="str"/>
      <x:c r="Q84" s="23" t="str"/>
      <x:c r="R84" s="23" t="str"/>
    </x:row>
    <x:row r="85">
      <x:c r="A85" s="23" t="str"/>
      <x:c r="B85" s="23" t="str"/>
      <x:c r="C85" s="23" t="str"/>
      <x:c r="D85" s="23" t="str"/>
      <x:c r="E85" s="23" t="str"/>
      <x:c r="F85" s="44" t="str"/>
      <x:c r="G85" s="44" t="str"/>
      <x:c r="H85" s="44" t="str"/>
      <x:c r="I85" s="44" t="str"/>
      <x:c r="J85" s="44" t="str"/>
      <x:c r="K85" s="44" t="str"/>
      <x:c r="L85" s="44" t="str"/>
      <x:c r="M85" s="44" t="str"/>
      <x:c r="N85" s="44" t="str"/>
      <x:c r="O85" s="23" t="str"/>
      <x:c r="P85" s="23" t="str"/>
      <x:c r="Q85" s="23" t="str"/>
      <x:c r="R85" s="23" t="str"/>
    </x:row>
    <x:row r="86">
      <x:c r="A86" s="23" t="str"/>
      <x:c r="B86" s="23" t="str"/>
      <x:c r="C86" s="23" t="str"/>
      <x:c r="D86" s="23" t="str"/>
      <x:c r="E86" s="23" t="str"/>
      <x:c r="F86" s="44" t="str"/>
      <x:c r="G86" s="44" t="str"/>
      <x:c r="H86" s="44" t="str"/>
      <x:c r="I86" s="44" t="str"/>
      <x:c r="J86" s="44" t="str"/>
      <x:c r="K86" s="44" t="str"/>
      <x:c r="L86" s="44" t="str"/>
      <x:c r="M86" s="44" t="str"/>
      <x:c r="N86" s="44" t="str"/>
      <x:c r="O86" s="23" t="str"/>
      <x:c r="P86" s="23" t="str"/>
      <x:c r="Q86" s="23" t="str"/>
      <x:c r="R86" s="23" t="str"/>
    </x:row>
    <x:row r="87">
      <x:c r="A87" s="23" t="str"/>
      <x:c r="B87" s="23" t="str"/>
      <x:c r="C87" s="23" t="str"/>
      <x:c r="D87" s="23" t="str"/>
      <x:c r="E87" s="23" t="str"/>
      <x:c r="F87" s="44" t="str"/>
      <x:c r="G87" s="44" t="str"/>
      <x:c r="H87" s="44" t="str"/>
      <x:c r="I87" s="44" t="str"/>
      <x:c r="J87" s="44" t="str"/>
      <x:c r="K87" s="44" t="str"/>
      <x:c r="L87" s="44" t="str"/>
      <x:c r="M87" s="44" t="str"/>
      <x:c r="N87" s="44" t="str"/>
      <x:c r="O87" s="23" t="str"/>
      <x:c r="P87" s="23" t="str"/>
      <x:c r="Q87" s="23" t="str"/>
      <x:c r="R87" s="23" t="str"/>
    </x:row>
    <x:row r="88">
      <x:c r="A88" s="23" t="str"/>
      <x:c r="B88" s="23" t="str"/>
      <x:c r="C88" s="23" t="str"/>
      <x:c r="D88" s="23" t="str"/>
      <x:c r="E88" s="23" t="str"/>
      <x:c r="F88" s="44" t="str"/>
      <x:c r="G88" s="44" t="str"/>
      <x:c r="H88" s="44" t="str"/>
      <x:c r="I88" s="44" t="str"/>
      <x:c r="J88" s="44" t="str"/>
      <x:c r="K88" s="44" t="str"/>
      <x:c r="L88" s="44" t="str"/>
      <x:c r="M88" s="44" t="str"/>
      <x:c r="N88" s="44" t="str"/>
      <x:c r="O88" s="23" t="str"/>
      <x:c r="P88" s="23" t="str"/>
      <x:c r="Q88" s="23" t="str"/>
      <x:c r="R88" s="23" t="str"/>
    </x:row>
    <x:row r="89">
      <x:c r="A89" s="23" t="str"/>
      <x:c r="B89" s="23" t="str"/>
      <x:c r="C89" s="23" t="str"/>
      <x:c r="D89" s="23" t="str"/>
      <x:c r="E89" s="23" t="str"/>
      <x:c r="F89" s="44" t="str"/>
      <x:c r="G89" s="44" t="str"/>
      <x:c r="H89" s="44" t="str"/>
      <x:c r="I89" s="44" t="str"/>
      <x:c r="J89" s="44" t="str"/>
      <x:c r="K89" s="44" t="str"/>
      <x:c r="L89" s="44" t="str"/>
      <x:c r="M89" s="44" t="str"/>
      <x:c r="N89" s="44" t="str"/>
      <x:c r="O89" s="23" t="str"/>
      <x:c r="P89" s="23" t="str"/>
      <x:c r="Q89" s="23" t="str"/>
      <x:c r="R89" s="23" t="str"/>
    </x:row>
    <x:row r="90">
      <x:c r="A90" s="23" t="str"/>
      <x:c r="B90" s="23" t="str"/>
      <x:c r="C90" s="23" t="str"/>
      <x:c r="D90" s="23" t="str"/>
      <x:c r="E90" s="23" t="str"/>
      <x:c r="F90" s="44" t="str"/>
      <x:c r="G90" s="44" t="str"/>
      <x:c r="H90" s="44" t="str"/>
      <x:c r="I90" s="44" t="str"/>
      <x:c r="J90" s="44" t="str"/>
      <x:c r="K90" s="44" t="str"/>
      <x:c r="L90" s="44" t="str"/>
      <x:c r="M90" s="44" t="str"/>
      <x:c r="N90" s="44" t="str"/>
      <x:c r="O90" s="23" t="str"/>
      <x:c r="P90" s="23" t="str"/>
      <x:c r="Q90" s="23" t="str"/>
      <x:c r="R90" s="23" t="str"/>
    </x:row>
    <x:row r="91">
      <x:c r="A91" s="23" t="str"/>
      <x:c r="B91" s="23" t="str"/>
      <x:c r="C91" s="23" t="str"/>
      <x:c r="D91" s="23" t="str"/>
      <x:c r="E91" s="23" t="str"/>
      <x:c r="F91" s="44" t="str"/>
      <x:c r="G91" s="44" t="str"/>
      <x:c r="H91" s="44" t="str"/>
      <x:c r="I91" s="44" t="str"/>
      <x:c r="J91" s="44" t="str"/>
      <x:c r="K91" s="44" t="str"/>
      <x:c r="L91" s="44" t="str"/>
      <x:c r="M91" s="44" t="str"/>
      <x:c r="N91" s="44" t="str"/>
      <x:c r="O91" s="23" t="str"/>
      <x:c r="P91" s="23" t="str"/>
      <x:c r="Q91" s="23" t="str"/>
      <x:c r="R91" s="23" t="str"/>
    </x:row>
    <x:row r="92">
      <x:c r="A92" s="23" t="str"/>
      <x:c r="B92" s="23" t="str"/>
      <x:c r="C92" s="23" t="str"/>
      <x:c r="D92" s="23" t="str"/>
      <x:c r="E92" s="23" t="str"/>
      <x:c r="F92" s="44" t="str"/>
      <x:c r="G92" s="44" t="str"/>
      <x:c r="H92" s="44" t="str"/>
      <x:c r="I92" s="44" t="str"/>
      <x:c r="J92" s="44" t="str"/>
      <x:c r="K92" s="44" t="str"/>
      <x:c r="L92" s="44" t="str"/>
      <x:c r="M92" s="44" t="str"/>
      <x:c r="N92" s="44" t="str"/>
      <x:c r="O92" s="23" t="str"/>
      <x:c r="P92" s="23" t="str"/>
      <x:c r="Q92" s="23" t="str"/>
      <x:c r="R92" s="23" t="str"/>
    </x:row>
    <x:row r="93">
      <x:c r="A93" s="23" t="str"/>
      <x:c r="B93" s="23" t="str"/>
      <x:c r="C93" s="23" t="str"/>
      <x:c r="D93" s="23" t="str"/>
      <x:c r="E93" s="23" t="str"/>
      <x:c r="F93" s="44" t="str"/>
      <x:c r="G93" s="44" t="str"/>
      <x:c r="H93" s="44" t="str"/>
      <x:c r="I93" s="44" t="str"/>
      <x:c r="J93" s="44" t="str"/>
      <x:c r="K93" s="44" t="str"/>
      <x:c r="L93" s="44" t="str"/>
      <x:c r="M93" s="44" t="str"/>
      <x:c r="N93" s="44" t="str"/>
      <x:c r="O93" s="23" t="str"/>
      <x:c r="P93" s="23" t="str"/>
      <x:c r="Q93" s="23" t="str"/>
      <x:c r="R93" s="23" t="str"/>
    </x:row>
    <x:row r="94">
      <x:c r="A94" s="23" t="str"/>
      <x:c r="B94" s="23" t="str"/>
      <x:c r="C94" s="23" t="str"/>
      <x:c r="D94" s="23" t="str"/>
      <x:c r="E94" s="23" t="str"/>
      <x:c r="F94" s="44" t="str"/>
      <x:c r="G94" s="44" t="str"/>
      <x:c r="H94" s="44" t="str"/>
      <x:c r="I94" s="44" t="str"/>
      <x:c r="J94" s="44" t="str"/>
      <x:c r="K94" s="44" t="str"/>
      <x:c r="L94" s="44" t="str"/>
      <x:c r="M94" s="44" t="str"/>
      <x:c r="N94" s="44" t="str"/>
      <x:c r="O94" s="23" t="str"/>
      <x:c r="P94" s="23" t="str"/>
      <x:c r="Q94" s="23" t="str"/>
      <x:c r="R94" s="23" t="str"/>
    </x:row>
    <x:row r="95">
      <x:c r="A95" s="23" t="str"/>
      <x:c r="B95" s="23" t="str"/>
      <x:c r="C95" s="23" t="str"/>
      <x:c r="D95" s="23" t="str"/>
      <x:c r="E95" s="23" t="str"/>
      <x:c r="F95" s="44" t="str"/>
      <x:c r="G95" s="44" t="str"/>
      <x:c r="H95" s="44" t="str"/>
      <x:c r="I95" s="44" t="str"/>
      <x:c r="J95" s="44" t="str"/>
      <x:c r="K95" s="44" t="str"/>
      <x:c r="L95" s="44" t="str"/>
      <x:c r="M95" s="44" t="str"/>
      <x:c r="N95" s="44" t="str"/>
      <x:c r="O95" s="23" t="str"/>
      <x:c r="P95" s="23" t="str"/>
      <x:c r="Q95" s="23" t="str"/>
      <x:c r="R95" s="23" t="str"/>
    </x:row>
    <x:row r="96">
      <x:c r="A96" s="23" t="str"/>
      <x:c r="B96" s="23" t="str"/>
      <x:c r="C96" s="23" t="str"/>
      <x:c r="D96" s="23" t="str"/>
      <x:c r="E96" s="23" t="str"/>
      <x:c r="F96" s="44" t="str"/>
      <x:c r="G96" s="44" t="str"/>
      <x:c r="H96" s="44" t="str"/>
      <x:c r="I96" s="44" t="str"/>
      <x:c r="J96" s="44" t="str"/>
      <x:c r="K96" s="44" t="str"/>
      <x:c r="L96" s="44" t="str"/>
      <x:c r="M96" s="44" t="str"/>
      <x:c r="N96" s="44" t="str"/>
      <x:c r="O96" s="23" t="str"/>
      <x:c r="P96" s="23" t="str"/>
      <x:c r="Q96" s="23" t="str"/>
      <x:c r="R96" s="23" t="str"/>
    </x:row>
    <x:row r="97">
      <x:c r="A97" s="23" t="str"/>
      <x:c r="B97" s="23" t="str"/>
      <x:c r="C97" s="23" t="str"/>
      <x:c r="D97" s="23" t="str"/>
      <x:c r="E97" s="23" t="str"/>
      <x:c r="F97" s="44" t="str"/>
      <x:c r="G97" s="44" t="str"/>
      <x:c r="H97" s="44" t="str"/>
      <x:c r="I97" s="44" t="str"/>
      <x:c r="J97" s="44" t="str"/>
      <x:c r="K97" s="44" t="str"/>
      <x:c r="L97" s="44" t="str"/>
      <x:c r="M97" s="44" t="str"/>
      <x:c r="N97" s="44" t="str"/>
      <x:c r="O97" s="23" t="str"/>
      <x:c r="P97" s="23" t="str"/>
      <x:c r="Q97" s="23" t="str"/>
      <x:c r="R97" s="23" t="str"/>
    </x:row>
    <x:row r="98">
      <x:c r="A98" s="23" t="str"/>
      <x:c r="B98" s="23" t="str"/>
      <x:c r="C98" s="23" t="str"/>
      <x:c r="D98" s="23" t="str"/>
      <x:c r="E98" s="23" t="str"/>
      <x:c r="F98" s="44" t="str"/>
      <x:c r="G98" s="44" t="str"/>
      <x:c r="H98" s="44" t="str"/>
      <x:c r="I98" s="44" t="str"/>
      <x:c r="J98" s="44" t="str"/>
      <x:c r="K98" s="44" t="str"/>
      <x:c r="L98" s="44" t="str"/>
      <x:c r="M98" s="44" t="str"/>
      <x:c r="N98" s="44" t="str"/>
      <x:c r="O98" s="23" t="str"/>
      <x:c r="P98" s="23" t="str"/>
      <x:c r="Q98" s="23" t="str"/>
      <x:c r="R98" s="23" t="str"/>
    </x:row>
    <x:row r="99">
      <x:c r="A99" s="23" t="str"/>
      <x:c r="B99" s="23" t="str"/>
      <x:c r="C99" s="23" t="str"/>
      <x:c r="D99" s="23" t="str"/>
      <x:c r="E99" s="23" t="str"/>
      <x:c r="F99" s="44" t="str"/>
      <x:c r="G99" s="44" t="str"/>
      <x:c r="H99" s="44" t="str"/>
      <x:c r="I99" s="44" t="str"/>
      <x:c r="J99" s="44" t="str"/>
      <x:c r="K99" s="44" t="str"/>
      <x:c r="L99" s="44" t="str"/>
      <x:c r="M99" s="44" t="str"/>
      <x:c r="N99" s="44" t="str"/>
      <x:c r="O99" s="23" t="str"/>
      <x:c r="P99" s="23" t="str"/>
      <x:c r="Q99" s="23" t="str"/>
      <x:c r="R99" s="23" t="str"/>
    </x:row>
    <x:row r="100">
      <x:c r="A100" s="23" t="str"/>
      <x:c r="B100" s="23" t="str"/>
      <x:c r="C100" s="23" t="str"/>
      <x:c r="D100" s="23" t="str"/>
      <x:c r="E100" s="23" t="str"/>
      <x:c r="F100" s="44" t="str"/>
      <x:c r="G100" s="44" t="str"/>
      <x:c r="H100" s="44" t="str"/>
      <x:c r="I100" s="44" t="str"/>
      <x:c r="J100" s="44" t="str"/>
      <x:c r="K100" s="44" t="str"/>
      <x:c r="L100" s="44" t="str"/>
      <x:c r="M100" s="44" t="str"/>
      <x:c r="N100" s="44" t="str"/>
      <x:c r="O100" s="23" t="str"/>
      <x:c r="P100" s="23" t="str"/>
      <x:c r="Q100" s="23" t="str"/>
      <x:c r="R100" s="23" t="str"/>
    </x:row>
    <x:row r="101">
      <x:c r="A101" s="23" t="str"/>
      <x:c r="B101" s="23" t="str"/>
      <x:c r="C101" s="23" t="str"/>
      <x:c r="D101" s="23" t="str"/>
      <x:c r="E101" s="23" t="str"/>
      <x:c r="F101" s="44" t="str"/>
      <x:c r="G101" s="44" t="str"/>
      <x:c r="H101" s="44" t="str"/>
      <x:c r="I101" s="44" t="str"/>
      <x:c r="J101" s="44" t="str"/>
      <x:c r="K101" s="44" t="str"/>
      <x:c r="L101" s="44" t="str"/>
      <x:c r="M101" s="44" t="str"/>
      <x:c r="N101" s="44" t="str"/>
      <x:c r="O101" s="23" t="str"/>
      <x:c r="P101" s="23" t="str"/>
      <x:c r="Q101" s="23" t="str"/>
      <x:c r="R101" s="23" t="str"/>
    </x:row>
    <x:row r="102">
      <x:c r="A102" s="23" t="str"/>
      <x:c r="B102" s="23" t="str"/>
      <x:c r="C102" s="23" t="str"/>
      <x:c r="D102" s="23" t="str"/>
      <x:c r="E102" s="23" t="str"/>
      <x:c r="F102" s="44" t="str"/>
      <x:c r="G102" s="44" t="str"/>
      <x:c r="H102" s="44" t="str"/>
      <x:c r="I102" s="44" t="str"/>
      <x:c r="J102" s="44" t="str"/>
      <x:c r="K102" s="44" t="str"/>
      <x:c r="L102" s="44" t="str"/>
      <x:c r="M102" s="44" t="str"/>
      <x:c r="N102" s="44" t="str"/>
      <x:c r="O102" s="23" t="str"/>
      <x:c r="P102" s="23" t="str"/>
      <x:c r="Q102" s="23" t="str"/>
      <x:c r="R102" s="23" t="str"/>
    </x:row>
    <x:row r="103">
      <x:c r="A103" s="23" t="str"/>
      <x:c r="B103" s="23" t="str"/>
      <x:c r="C103" s="23" t="str"/>
      <x:c r="D103" s="23" t="str"/>
      <x:c r="E103" s="23" t="str"/>
      <x:c r="F103" s="44" t="str"/>
      <x:c r="G103" s="44" t="str"/>
      <x:c r="H103" s="44" t="str"/>
      <x:c r="I103" s="44" t="str"/>
      <x:c r="J103" s="44" t="str"/>
      <x:c r="K103" s="44" t="str"/>
      <x:c r="L103" s="44" t="str"/>
      <x:c r="M103" s="44" t="str"/>
      <x:c r="N103" s="44" t="str"/>
      <x:c r="O103" s="23" t="str"/>
      <x:c r="P103" s="23" t="str"/>
      <x:c r="Q103" s="23" t="str"/>
      <x:c r="R103" s="23" t="str"/>
    </x:row>
  </x:sheetData>
  <x:mergeCells>
    <x:mergeCell ref="A1:R1"/>
  </x:mergeCells>
  <x:conditionalFormatting sqref="F4:N103">
    <x:cfRule type="colorScale" priority="1">
      <x:colorScale>
        <x:cfvo type="min"/>
        <x:cfvo type="percentile" val="50"/>
        <x:cfvo type="max"/>
        <x:color rgb="FFFDECEC"/>
        <x:color rgb="FFFFF4B8"/>
        <x:color rgb="FFE8F5EE"/>
      </x:colorScale>
    </x:cfRule>
  </x:conditionalFormatting>
  <x:dataValidations count="2">
    <x:dataValidation type="list" sqref="D4:D103">
      <x:formula1>"Very Cheap,Cheap,Fair Value,Expensive,Very Expensive"</x:formula1>
    </x:dataValidation>
    <x:dataValidation type="list" sqref="O4:O103">
      <x:formula1>"Pending,In Progress,Completed,Needs Update"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9ed987af294a0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22" hidden="0" customWidth="1"/>
    <x:col min="3" max="3" width="20" hidden="0" customWidth="1"/>
    <x:col min="4" max="4" width="20" hidden="0" customWidth="1"/>
    <x:col min="5" max="5" width="23" hidden="0" customWidth="1"/>
    <x:col min="6" max="6" width="12" hidden="0" customWidth="1"/>
    <x:col min="7" max="7" width="13" hidden="0" customWidth="1"/>
    <x:col min="8" max="8" width="18" hidden="0" customWidth="1"/>
    <x:col min="9" max="9" width="18" hidden="0" customWidth="1"/>
    <x:col min="10" max="10" width="18" hidden="0" customWidth="1"/>
    <x:col min="11" max="11" width="62" hidden="0" customWidth="1"/>
    <x:col min="12" max="12" width="48" hidden="0" customWidth="1"/>
    <x:col min="13" max="13" width="18" hidden="0" customWidth="1"/>
    <x:col min="14" max="14" width="18" hidden="0" customWidth="1"/>
    <x:col min="15" max="15" width="62" hidden="0" customWidth="1"/>
  </x:cols>
  <x:sheetData>
    <x:row r="1" ht="30" customHeight="1">
      <x:c r="A1" s="5" t="str">
        <x:v>Latest Financials</x:v>
      </x:c>
    </x:row>
    <x:row r="3" ht="30" customHeight="1">
      <x:c r="A3" s="14" t="str">
        <x:v>Ticker</x:v>
      </x:c>
      <x:c r="B3" s="14" t="str">
        <x:v>Period</x:v>
      </x:c>
      <x:c r="C3" s="14" t="str">
        <x:v>Quarter NPAT (THB mn)</x:v>
      </x:c>
      <x:c r="D3" s="14" t="str">
        <x:v>Period NPAT (THB mn)</x:v>
      </x:c>
      <x:c r="E3" s="14" t="str">
        <x:v>Prior Period NPAT (THB mn)</x:v>
      </x:c>
      <x:c r="F3" s="14" t="str">
        <x:v>NPAT YoY</x:v>
      </x:c>
      <x:c r="G3" s="14" t="str">
        <x:v>EPS / Share</x:v>
      </x:c>
      <x:c r="H3" s="14" t="str">
        <x:v>Revenue (THB mn)</x:v>
      </x:c>
      <x:c r="I3" s="14" t="str">
        <x:v>EBITDA (THB mn)</x:v>
      </x:c>
      <x:c r="J3" s="14" t="str">
        <x:v>Net Debt/EBITDA</x:v>
      </x:c>
      <x:c r="K3" s="14" t="str">
        <x:v>Source</x:v>
      </x:c>
      <x:c r="L3" s="14" t="str">
        <x:v>Note</x:v>
      </x:c>
      <x:c r="M3" s="91" t="str">
        <x:v>Debt / EBITDA (x)</x:v>
      </x:c>
      <x:c r="N3" s="91" t="str">
        <x:v>Debt/EBITDA Basis</x:v>
      </x:c>
      <x:c r="O3" s="91" t="str">
        <x:v>Debt/EBITDA Note</x:v>
      </x:c>
    </x:row>
    <x:row r="4">
      <x:c r="A4" s="26" t="str">
        <x:v>DELTA</x:v>
      </x:c>
      <x:c r="B4" s="26" t="str">
        <x:v>1H2026 / Q2 2026</x:v>
      </x:c>
      <x:c r="C4" s="28" t="n">
        <x:v>6074.6</x:v>
      </x:c>
      <x:c r="D4" s="28" t="n">
        <x:v>15155.77</x:v>
      </x:c>
      <x:c r="E4" s="28" t="n">
        <x:v>10117.18</x:v>
      </x:c>
      <x:c r="F4" s="58" t="n">
        <x:f>D4/E4-1</x:f>
        <x:v>0.49802316455771267</x:v>
      </x:c>
      <x:c r="G4" s="23" t="str"/>
      <x:c r="H4" s="23" t="str"/>
      <x:c r="I4" s="23" t="str"/>
      <x:c r="J4" s="59" t="str"/>
      <x:c r="K4" s="26" t="str">
        <x:v>https://www.set.or.th/en/market/news-and-alert/newsdetails?id=105530200&amp;symbol=DELTA</x:v>
      </x:c>
      <x:c r="L4" s="26" t="str">
        <x:v>Latest reviewed period used in Batch 1.</x:v>
      </x:c>
      <x:c r="M4" s="70" t="n">
        <x:v>0.19</x:v>
      </x:c>
      <x:c r="N4" s="26" t="str">
        <x:v>Calculation</x:v>
      </x:c>
      <x:c r="O4" s="26" t="str">
        <x:v>ประมาณการจาก SET: (EV - Market Cap + Cash) / EBITDA; ใช้เป็น screening value เพราะหน้า SET ratio ไม่แสดงค่าด้วย text parser</x:v>
      </x:c>
    </x:row>
    <x:row r="5">
      <x:c r="A5" s="26" t="str">
        <x:v>PTT</x:v>
      </x:c>
      <x:c r="B5" s="26" t="str">
        <x:v>1H2026 / Q2 2026</x:v>
      </x:c>
      <x:c r="C5" s="28" t="n">
        <x:v>52524.59</x:v>
      </x:c>
      <x:c r="D5" s="28" t="n">
        <x:v>78262.89</x:v>
      </x:c>
      <x:c r="E5" s="28" t="n">
        <x:v>44848.37</x:v>
      </x:c>
      <x:c r="F5" s="58" t="n">
        <x:f>D5/E5-1</x:f>
        <x:v>0.745055394432395</x:v>
      </x:c>
      <x:c r="G5" s="23" t="str"/>
      <x:c r="H5" s="23" t="str"/>
      <x:c r="I5" s="23" t="str"/>
      <x:c r="J5" s="59" t="str"/>
      <x:c r="K5" s="26" t="str">
        <x:v>https://www.set.or.th/en/market/news-and-alert/newsdetails?id=106015900&amp;symbol=PTT</x:v>
      </x:c>
      <x:c r="L5" s="26" t="str">
        <x:v>Latest reviewed period used in Batch 1.</x:v>
      </x:c>
      <x:c r="M5" s="70" t="n">
        <x:v>2.22</x:v>
      </x:c>
      <x:c r="N5" s="26" t="str">
        <x:v>SET</x:v>
      </x:c>
      <x:c r="O5" s="26" t="str">
        <x:v>Total Interest Bearing Debt / EBITDA, 6M/2026 (TTM-adjusted by SET)</x:v>
      </x:c>
    </x:row>
    <x:row r="6">
      <x:c r="A6" s="26" t="str">
        <x:v>ADVANC</x:v>
      </x:c>
      <x:c r="B6" s="26" t="str">
        <x:v>1H2026 / Q2 2026</x:v>
      </x:c>
      <x:c r="C6" s="28" t="n">
        <x:v>13716.01</x:v>
      </x:c>
      <x:c r="D6" s="28" t="n">
        <x:v>27211.51</x:v>
      </x:c>
      <x:c r="E6" s="28" t="n">
        <x:v>21565.41</x:v>
      </x:c>
      <x:c r="F6" s="58" t="n">
        <x:f>D6/E6-1</x:f>
        <x:v>0.26181278259954244</x:v>
      </x:c>
      <x:c r="G6" s="23" t="str"/>
      <x:c r="H6" s="23" t="str"/>
      <x:c r="I6" s="23" t="str"/>
      <x:c r="J6" s="59" t="str"/>
      <x:c r="K6" s="26" t="str">
        <x:v>https://www.set.or.th/en/market/news-and-alert/newsdetails?id=105664800&amp;symbol=ADVANC</x:v>
      </x:c>
      <x:c r="L6" s="26" t="str">
        <x:v>Latest reviewed period used in Batch 1.</x:v>
      </x:c>
      <x:c r="M6" s="70" t="n">
        <x:v>1.86</x:v>
      </x:c>
      <x:c r="N6" s="26" t="str">
        <x:v>SET</x:v>
      </x:c>
      <x:c r="O6" s="26" t="str">
        <x:v>Total Interest Bearing Debt / EBITDA, 6M/2026 (TTM-adjusted by SET)</x:v>
      </x:c>
    </x:row>
    <x:row r="7">
      <x:c r="A7" s="26" t="str">
        <x:v>GULF</x:v>
      </x:c>
      <x:c r="B7" s="26" t="str">
        <x:v>1H2026 / Q2 2026</x:v>
      </x:c>
      <x:c r="C7" s="28" t="n">
        <x:v>12445.68</x:v>
      </x:c>
      <x:c r="D7" s="28" t="n">
        <x:v>21562.49</x:v>
      </x:c>
      <x:c r="E7" s="28" t="n">
        <x:v>63871.48</x:v>
      </x:c>
      <x:c r="F7" s="58" t="n">
        <x:f>D7/E7-1</x:f>
        <x:v>-0.6624081671506594</x:v>
      </x:c>
      <x:c r="G7" s="23" t="str"/>
      <x:c r="H7" s="23" t="str"/>
      <x:c r="I7" s="23" t="str"/>
      <x:c r="J7" s="59" t="str"/>
      <x:c r="K7" s="26" t="str">
        <x:v>https://www.set.or.th/en/market/news-and-alert/newsdetails?id=105685400&amp;symbol=GULF</x:v>
      </x:c>
      <x:c r="L7" s="26" t="str">
        <x:v>Reported YoY comparability is distorted by 2025 amalgamation effects; use core profit/SOTP.</x:v>
      </x:c>
      <x:c r="M7" s="70" t="n">
        <x:v>4.2</x:v>
      </x:c>
      <x:c r="N7" s="26" t="str">
        <x:v>SET</x:v>
      </x:c>
      <x:c r="O7" s="26" t="str">
        <x:v>Total Interest Bearing Debt / EBITDA, 6M/2026 (TTM-adjusted by SET)</x:v>
      </x:c>
    </x:row>
    <x:row r="8">
      <x:c r="A8" s="26" t="str">
        <x:v>AOT</x:v>
      </x:c>
      <x:c r="B8" s="26" t="str">
        <x:v>9M FY2026 / Q3 FY2026</x:v>
      </x:c>
      <x:c r="C8" s="28" t="n">
        <x:v>4441.68</x:v>
      </x:c>
      <x:c r="D8" s="28" t="n">
        <x:v>14812.34</x:v>
      </x:c>
      <x:c r="E8" s="28" t="n">
        <x:v>14262.37</x:v>
      </x:c>
      <x:c r="F8" s="58" t="n">
        <x:f>D8/E8-1</x:f>
        <x:v>0.03856091238693149</x:v>
      </x:c>
      <x:c r="G8" s="23" t="str"/>
      <x:c r="H8" s="23" t="str"/>
      <x:c r="I8" s="23" t="str"/>
      <x:c r="J8" s="59" t="str"/>
      <x:c r="K8" s="26" t="str">
        <x:v>https://www.set.or.th/en/market/news-and-alert/newsdetails?id=106027100&amp;symbol=AOT</x:v>
      </x:c>
      <x:c r="L8" s="26" t="str">
        <x:v>AOT fiscal year ends Sep; row uses 9M FY2026 / Q3 FY2026.</x:v>
      </x:c>
      <x:c r="M8" s="70" t="n">
        <x:v>0.24</x:v>
      </x:c>
      <x:c r="N8" s="26" t="str">
        <x:v>Calculation</x:v>
      </x:c>
      <x:c r="O8" s="26" t="str">
        <x:v>คำนวณจากหนี้ที่มีภาระดอกเบี้ยในงบ 9M/FY2026 หาร SET EBITDA 29,108.74 ล้านบาท</x:v>
      </x:c>
    </x:row>
    <x:row r="9">
      <x:c r="A9" s="26" t="str">
        <x:v>KTB</x:v>
      </x:c>
      <x:c r="B9" s="26" t="str">
        <x:v>1H2026 / Q2 2026</x:v>
      </x:c>
      <x:c r="C9" s="28" t="n">
        <x:v>12125</x:v>
      </x:c>
      <x:c r="D9" s="28" t="n">
        <x:v>24562</x:v>
      </x:c>
      <x:c r="E9" s="28" t="n">
        <x:v>22827</x:v>
      </x:c>
      <x:c r="F9" s="71" t="n">
        <x:v>0.076</x:v>
      </x:c>
      <x:c r="G9" s="26"/>
      <x:c r="H9" s="26"/>
      <x:c r="I9" s="26"/>
      <x:c r="J9" s="130"/>
      <x:c r="K9" s="26" t="str">
        <x:v>https://www.set.or.th/en/market/product/stock/quote/KTB/financial-statement/latest/income</x:v>
      </x:c>
      <x:c r="L9" s="26" t="str">
        <x:v>Bank: use NPL 2.92%, Coverage 205%, NIM 2.45%; Debt/EBITDA not meaningful.</x:v>
      </x:c>
      <x:c r="M9" s="70"/>
      <x:c r="N9" s="26" t="str">
        <x:v>N/A - Banking</x:v>
      </x:c>
      <x:c r="O9" s="26" t="str">
        <x:v>NPL 2.92%; Coverage 205%; ROE ~10.5%; use capital/asset-quality metrics instead.</x:v>
      </x:c>
    </x:row>
    <x:row r="10">
      <x:c r="A10" s="26" t="str">
        <x:v>PTTEP</x:v>
      </x:c>
      <x:c r="B10" s="26" t="str">
        <x:v>1H2026 / Q2 2026</x:v>
      </x:c>
      <x:c r="C10" s="28"/>
      <x:c r="D10" s="28" t="n">
        <x:v>39032.45</x:v>
      </x:c>
      <x:c r="E10" s="28" t="n">
        <x:v>30066.69</x:v>
      </x:c>
      <x:c r="F10" s="71" t="n">
        <x:v>0.29819577745338766</x:v>
      </x:c>
      <x:c r="G10" s="26" t="n">
        <x:v>9.83</x:v>
      </x:c>
      <x:c r="H10" s="26" t="n">
        <x:v>176756.25</x:v>
      </x:c>
      <x:c r="I10" s="26"/>
      <x:c r="J10" s="130"/>
      <x:c r="K10" s="26" t="str">
        <x:v>https://www.pttep.com/en/newsroom/press-releases/1192/pttep-announces-first-half-performance-of-2026-and-interim-dividend-payment-at-thb-450-per-share</x:v>
      </x:c>
      <x:c r="L10" s="26" t="str">
        <x:v>1H26 sales volume 563k BOED (+14% YoY); ASP US$49.54/BOE.</x:v>
      </x:c>
      <x:c r="M10" s="70" t="n">
        <x:v>0.5</x:v>
      </x:c>
      <x:c r="N10" s="26" t="str">
        <x:v>Calculation</x:v>
      </x:c>
      <x:c r="O10" s="26" t="str">
        <x:v>Approx. net debt/EBITDA = (SET EV - Market Cap) / SET EBITDA = ~0.50x.</x:v>
      </x:c>
    </x:row>
    <x:row r="11">
      <x:c r="A11" s="26" t="str">
        <x:v>KBANK</x:v>
      </x:c>
      <x:c r="B11" s="26" t="str">
        <x:v>1H2026 / Q2 2026</x:v>
      </x:c>
      <x:c r="C11" s="28" t="n">
        <x:v>13247</x:v>
      </x:c>
      <x:c r="D11" s="28" t="n">
        <x:v>27914.9</x:v>
      </x:c>
      <x:c r="E11" s="28" t="n">
        <x:v>26280</x:v>
      </x:c>
      <x:c r="F11" s="71" t="n">
        <x:v>0.0622108066971081</x:v>
      </x:c>
      <x:c r="G11" s="26" t="n">
        <x:v>11.87</x:v>
      </x:c>
      <x:c r="H11" s="26" t="n">
        <x:v>126238.37</x:v>
      </x:c>
      <x:c r="I11" s="26"/>
      <x:c r="J11" s="130"/>
      <x:c r="K11" s="26" t="str">
        <x:v>https://www.kasikornbank.com/en/News/Pages/q2_2026.aspx</x:v>
      </x:c>
      <x:c r="L11" s="26" t="str">
        <x:v>Bank: NIM 2.91%; NPL 3.18%; Coverage 173.9%; CAR 19.24%.</x:v>
      </x:c>
      <x:c r="M11" s="70"/>
      <x:c r="N11" s="26" t="str">
        <x:v>N/A - Banking</x:v>
      </x:c>
      <x:c r="O11" s="26" t="str">
        <x:v>Use NIM, NPL, Coverage, CAR and ROE instead of Debt/EBITDA.</x:v>
      </x:c>
    </x:row>
    <x:row r="12">
      <x:c r="A12" s="26" t="str">
        <x:v>SCB</x:v>
      </x:c>
      <x:c r="B12" s="26" t="str">
        <x:v>1H2026 / Q2 2026</x:v>
      </x:c>
      <x:c r="C12" s="28" t="n">
        <x:v>11117</x:v>
      </x:c>
      <x:c r="D12" s="28" t="n">
        <x:v>21312.12</x:v>
      </x:c>
      <x:c r="E12" s="28" t="n">
        <x:v>25288.16</x:v>
      </x:c>
      <x:c r="F12" s="71" t="n">
        <x:v>-0.15722931205750046</x:v>
      </x:c>
      <x:c r="G12" s="26" t="n">
        <x:v>6.33</x:v>
      </x:c>
      <x:c r="H12" s="26"/>
      <x:c r="I12" s="26"/>
      <x:c r="J12" s="130"/>
      <x:c r="K12" s="26" t="str">
        <x:v>https://investor.scbx.com/en/newsroom/press-releases/202896/scbx-reports-2q26-net-profit-of-thb-11117-million-up-9-qoq</x:v>
      </x:c>
      <x:c r="L12" s="26" t="str">
        <x:v>Bank/financial holding: NPL 3.17%; Coverage 158.6%; CAR 18.6%.</x:v>
      </x:c>
      <x:c r="M12" s="70"/>
      <x:c r="N12" s="26" t="str">
        <x:v>N/A - Banking</x:v>
      </x:c>
      <x:c r="O12" s="26" t="str">
        <x:v>Use NIM, NPL, Coverage, CAR and ROE instead of Debt/EBITDA.</x:v>
      </x:c>
    </x:row>
    <x:row r="13">
      <x:c r="A13" s="26" t="str">
        <x:v>TRUE</x:v>
      </x:c>
      <x:c r="B13" s="26" t="str">
        <x:v>1H2026 / Q2 2026</x:v>
      </x:c>
      <x:c r="C13" s="28" t="n">
        <x:v>6600</x:v>
      </x:c>
      <x:c r="D13" s="28" t="n">
        <x:v>13200</x:v>
      </x:c>
      <x:c r="E13" s="28"/>
      <x:c r="F13" s="71"/>
      <x:c r="G13" s="26"/>
      <x:c r="H13" s="26"/>
      <x:c r="I13" s="26"/>
      <x:c r="J13" s="130"/>
      <x:c r="K13" s="26" t="str">
        <x:v>https://www.set.or.th/th/market/news-and-alert/newsdetails?id=105627201&amp;symbol=TRUE</x:v>
      </x:c>
      <x:c r="L13" s="26" t="str">
        <x:v>Q2/26 reported NPAT ~THB6.6bn; service revenue +0.8% YoY; EBITDA +13.5% YoY; leverage 3.7x.</x:v>
      </x:c>
      <x:c r="M13" s="70" t="n">
        <x:v>3.7</x:v>
      </x:c>
      <x:c r="N13" s="26" t="str">
        <x:v>Company</x:v>
      </x:c>
      <x:c r="O13" s="26" t="str">
        <x:v>Net debt/EBITDA reported by company at 3.7x for Q2/2026.</x:v>
      </x:c>
    </x:row>
    <x:row r="14">
      <x:c r="A14" s="26" t="str">
        <x:v>CPALL</x:v>
      </x:c>
      <x:c r="B14" s="26" t="str">
        <x:v>1H2026 / Q2 2026</x:v>
      </x:c>
      <x:c r="C14" s="28" t="n">
        <x:v>7511.91</x:v>
      </x:c>
      <x:c r="D14" s="28" t="n">
        <x:v>16629.74</x:v>
      </x:c>
      <x:c r="E14" s="28" t="n">
        <x:v>14353.69</x:v>
      </x:c>
      <x:c r="F14" s="71" t="n">
        <x:v>0.15856898121667684</x:v>
      </x:c>
      <x:c r="G14" s="26" t="n">
        <x:v>1.84</x:v>
      </x:c>
      <x:c r="H14" s="26"/>
      <x:c r="I14" s="26" t="n">
        <x:v>48743.2</x:v>
      </x:c>
      <x:c r="J14" s="130"/>
      <x:c r="K14" s="26" t="str">
        <x:v>https://www.set.or.th/en/market/news-and-alert/newsdetails?id=105990300&amp;symbol=CPALL</x:v>
      </x:c>
      <x:c r="L14" s="26" t="str">
        <x:v>Q2 NPAT +11.0% YoY; 1H26 NPAT +15.9% YoY. Debt/EBITDA shown as last published company reference, not current quarter.</x:v>
      </x:c>
      <x:c r="M14" s="70" t="n">
        <x:v>3</x:v>
      </x:c>
      <x:c r="N14" s="26" t="str">
        <x:v>Company (FY2024 reference)</x:v>
      </x:c>
      <x:c r="O14" s="26" t="str">
        <x:v>CPALL One Report 2024 reported Net Debt/EBITDA 3.0x; use as reference only until current-quarter leverage is sourced.</x:v>
      </x:c>
    </x:row>
    <x:row r="15">
      <x:c r="A15" s="26" t="str">
        <x:v>BBL</x:v>
      </x:c>
      <x:c r="B15" s="26" t="str">
        <x:v>1H2026 / Q2 2026</x:v>
      </x:c>
      <x:c r="C15" s="28" t="n">
        <x:v>9497.92</x:v>
      </x:c>
      <x:c r="D15" s="28" t="n">
        <x:v>20491.69</x:v>
      </x:c>
      <x:c r="E15" s="28" t="n">
        <x:v>24457.65</x:v>
      </x:c>
      <x:c r="F15" s="71" t="n">
        <x:v>-0.16215621697096827</x:v>
      </x:c>
      <x:c r="G15" s="26" t="n">
        <x:v>10.74</x:v>
      </x:c>
      <x:c r="H15" s="26"/>
      <x:c r="I15" s="26"/>
      <x:c r="J15" s="130"/>
      <x:c r="K15" s="26" t="str">
        <x:v>https://www.set.or.th/en/market/news-and-alert/newsdetails?id=106562800&amp;symbol=BBL</x:v>
      </x:c>
      <x:c r="L15" s="26" t="str">
        <x:v>Bank: Debt/EBITDA not meaningful. 1H26 NPAT down 16.2% YoY; focus on NIM, NPL, coverage, CET1/CAR and ROE.</x:v>
      </x:c>
      <x:c r="M15" s="70"/>
      <x:c r="N15" s="26" t="str">
        <x:v>N/A - Banking</x:v>
      </x:c>
      <x:c r="O15" s="26" t="str">
        <x:v>Use capital adequacy, NPL, coverage, NIM and ROE rather than Debt/EBITDA.</x:v>
      </x:c>
    </x:row>
    <x:row r="16">
      <x:c r="A16" s="26" t="str">
        <x:v>SCC</x:v>
      </x:c>
      <x:c r="B16" s="26" t="str">
        <x:v>1H2026 / Q2 2026</x:v>
      </x:c>
      <x:c r="C16" s="28" t="n">
        <x:v>11534.56</x:v>
      </x:c>
      <x:c r="D16" s="28" t="n">
        <x:v>17757.52</x:v>
      </x:c>
      <x:c r="E16" s="28" t="n">
        <x:v>18436.13</x:v>
      </x:c>
      <x:c r="F16" s="71" t="n">
        <x:v>-0.036808701175355174</x:v>
      </x:c>
      <x:c r="G16" s="26" t="n">
        <x:v>14.8</x:v>
      </x:c>
      <x:c r="H16" s="26"/>
      <x:c r="I16" s="26" t="n">
        <x:v>43423.35</x:v>
      </x:c>
      <x:c r="J16" s="130"/>
      <x:c r="K16" s="26" t="str">
        <x:v>https://www.set.or.th/en/market/news-and-alert/newsdetails?id=105502000&amp;symbol=SCC</x:v>
      </x:c>
      <x:c r="L16" s="26" t="str">
        <x:v>Headline Q2 profit includes asset/transaction effects; use adjusted/core earnings for trend assessment.</x:v>
      </x:c>
      <x:c r="M16" s="70" t="n">
        <x:v>7.61</x:v>
      </x:c>
      <x:c r="N16" s="26" t="str">
        <x:v>Calculation</x:v>
      </x:c>
      <x:c r="O16" s="26" t="str">
        <x:v>Approx. gross debt/EBITDA screening = (EV-MCap+cash proxy unavailable); leverage remains elevated, so treat 7.6x as conservative screening estimate, not reported covenant ratio.</x:v>
      </x:c>
    </x:row>
    <x:row r="17">
      <x:c r="A17" s="26" t="str">
        <x:v>BDMS</x:v>
      </x:c>
      <x:c r="B17" s="26" t="str">
        <x:v>1H2026 / Q2 2026</x:v>
      </x:c>
      <x:c r="C17" s="28" t="n">
        <x:v>3248.39</x:v>
      </x:c>
      <x:c r="D17" s="28" t="n">
        <x:v>7306.45</x:v>
      </x:c>
      <x:c r="E17" s="28" t="n">
        <x:v>7836.35</x:v>
      </x:c>
      <x:c r="F17" s="71" t="n">
        <x:v>-0.06762076732152089</x:v>
      </x:c>
      <x:c r="G17" s="26" t="n">
        <x:v>0.46</x:v>
      </x:c>
      <x:c r="H17" s="26" t="n">
        <x:v>56068</x:v>
      </x:c>
      <x:c r="I17" s="26" t="n">
        <x:v>13074</x:v>
      </x:c>
      <x:c r="J17" s="130"/>
      <x:c r="K17" s="26" t="str">
        <x:v>https://www.set.or.th/en/market/news-and-alert/newsdetails?id=106062400&amp;symbol=BDMS</x:v>
      </x:c>
      <x:c r="L17" s="26" t="str">
        <x:v>6M26 hospital revenue THB53.1bn; EBITDA margin 23.3%; NPAT down 6.8% YoY. Company funding policy caps Debt/EBITDA at 2.5x.</x:v>
      </x:c>
      <x:c r="M17" s="70" t="n">
        <x:v>0.5</x:v>
      </x:c>
      <x:c r="N17" s="26" t="str">
        <x:v>Company reference</x:v>
      </x:c>
      <x:c r="O17" s="26" t="str">
        <x:v>Latest easily verifiable company reference shows Net Debt/EBITDA around 0.5x; leverage policy ceiling 2.5x.</x:v>
      </x:c>
    </x:row>
    <x:row r="18">
      <x:c r="A18" s="26" t="str">
        <x:v>TTB</x:v>
      </x:c>
      <x:c r="B18" s="26" t="str">
        <x:v>1H2026 / Q2 2026</x:v>
      </x:c>
      <x:c r="C18" s="28" t="n">
        <x:v>5512.97</x:v>
      </x:c>
      <x:c r="D18" s="28" t="n">
        <x:v>10682.76</x:v>
      </x:c>
      <x:c r="E18" s="28" t="n">
        <x:v>10100.28</x:v>
      </x:c>
      <x:c r="F18" s="71" t="n">
        <x:v>0.05766968836507491</x:v>
      </x:c>
      <x:c r="G18" s="26" t="n">
        <x:v>0.12</x:v>
      </x:c>
      <x:c r="H18" s="26"/>
      <x:c r="I18" s="26"/>
      <x:c r="J18" s="130"/>
      <x:c r="K18" s="26" t="str">
        <x:v>https://www.set.or.th/en/market/news-and-alert/newsdetails?id=105471300&amp;symbol=TTB</x:v>
      </x:c>
      <x:c r="L18" s="26" t="str">
        <x:v>Bank: use NIM/NPL/Coverage/CAR/ROE. 1H26 NPAT +5.8% YoY; Debt/EBITDA not meaningful.</x:v>
      </x:c>
      <x:c r="M18" s="70"/>
      <x:c r="N18" s="26" t="str">
        <x:v>N/A - Banking</x:v>
      </x:c>
      <x:c r="O18" s="26" t="str">
        <x:v>Use capital, NIM, asset quality and ROE instead of Debt/EBITDA.</x:v>
      </x:c>
    </x:row>
    <x:row r="19">
      <x:c r="A19" s="26" t="str">
        <x:v>CPN</x:v>
      </x:c>
      <x:c r="B19" s="26" t="str">
        <x:v>1H2026 / Q2 2026</x:v>
      </x:c>
      <x:c r="C19" s="28" t="n">
        <x:v>4750.44</x:v>
      </x:c>
      <x:c r="D19" s="28" t="n">
        <x:v>9721.23</x:v>
      </x:c>
      <x:c r="E19" s="28" t="n">
        <x:v>8532.14</x:v>
      </x:c>
      <x:c r="F19" s="71" t="n">
        <x:v>0.1393659738354036</x:v>
      </x:c>
      <x:c r="G19" s="26" t="n">
        <x:v>2.17</x:v>
      </x:c>
      <x:c r="H19" s="26" t="n">
        <x:v>26210</x:v>
      </x:c>
      <x:c r="I19" s="26"/>
      <x:c r="J19" s="130"/>
      <x:c r="K19" s="26" t="str">
        <x:v>https://www.set.or.th/en/market/news-and-alert/newsdetails?id=105742500&amp;symbol=CPN</x:v>
      </x:c>
      <x:c r="L19" s="26" t="str">
        <x:v>Q2 NPAT THB4.75bn; 1H26 THB9.72bn +13.9% YoY. Rental income remains core.</x:v>
      </x:c>
      <x:c r="M19" s="70" t="n">
        <x:v>3.19</x:v>
      </x:c>
      <x:c r="N19" s="26" t="str">
        <x:v>SET</x:v>
      </x:c>
      <x:c r="O19" s="26" t="str">
        <x:v>Total Interest Bearing Debt / EBITDA, 6M/2026, TTM-adjusted by SET.</x:v>
      </x:c>
    </x:row>
    <x:row r="20">
      <x:c r="A20" s="26" t="str">
        <x:v>PTTGC</x:v>
      </x:c>
      <x:c r="B20" s="26" t="str">
        <x:v>1H2026 / Q2 2026</x:v>
      </x:c>
      <x:c r="C20" s="28" t="n">
        <x:v>12208.35</x:v>
      </x:c>
      <x:c r="D20" s="28" t="n">
        <x:v>15440.11</x:v>
      </x:c>
      <x:c r="E20" s="28" t="n">
        <x:v>-6183.33</x:v>
      </x:c>
      <x:c r="F20" s="71"/>
      <x:c r="G20" s="26" t="n">
        <x:v>3.01</x:v>
      </x:c>
      <x:c r="H20" s="26" t="n">
        <x:v>172388</x:v>
      </x:c>
      <x:c r="I20" s="26"/>
      <x:c r="J20" s="130"/>
      <x:c r="K20" s="26" t="str">
        <x:v>https://www.set.or.th/en/market/news-and-alert/newsdetails?id=105704400&amp;symbol=PTTGC</x:v>
      </x:c>
      <x:c r="L20" s="26" t="str">
        <x:v>1H26 returned to profit; Q2 Adjusted EBITDA THB26.9bn. Balance sheet improved; IBD/equity 0.56x.</x:v>
      </x:c>
      <x:c r="M20" s="70" t="n">
        <x:v>3.78</x:v>
      </x:c>
      <x:c r="N20" s="26" t="str">
        <x:v>Calculation</x:v>
      </x:c>
      <x:c r="O20" s="26" t="str">
        <x:v>Approx. net debt/EBITDA = (SET EV - Market Cap) / SET EBITDA ≈ 3.78x; screening only.</x:v>
      </x:c>
    </x:row>
    <x:row r="21">
      <x:c r="A21" s="26" t="str">
        <x:v>CRC</x:v>
      </x:c>
      <x:c r="B21" s="26" t="str">
        <x:v>1H2026 / Q2 2026</x:v>
      </x:c>
      <x:c r="C21" s="28" t="n">
        <x:v>2126</x:v>
      </x:c>
      <x:c r="D21" s="28"/>
      <x:c r="E21" s="28"/>
      <x:c r="F21" s="71"/>
      <x:c r="G21" s="26"/>
      <x:c r="H21" s="26" t="n">
        <x:v>117433.24</x:v>
      </x:c>
      <x:c r="I21" s="26"/>
      <x:c r="J21" s="130"/>
      <x:c r="K21" s="26" t="str">
        <x:v>https://lssmedia.setlink.set.or.th/2026/6M/CRC-6M69-ListedCompanySnapshot-EN.html</x:v>
      </x:c>
      <x:c r="L21" s="26" t="str">
        <x:v>Q2 continuing-operations NPAT THB2.126bn +155.8% YoY; Q2 revenue THB60.1bn +3.5% YoY.</x:v>
      </x:c>
      <x:c r="M21" s="70"/>
      <x:c r="N21" s="26" t="str">
        <x:v>Pending source</x:v>
      </x:c>
      <x:c r="O21" s="26" t="str">
        <x:v>Leverage metric to monitor from company/SET; lease-heavy retail model requires consistent basis.</x:v>
      </x:c>
    </x:row>
    <x:row r="22">
      <x:c r="A22" s="26" t="str">
        <x:v>CPF</x:v>
      </x:c>
      <x:c r="B22" s="26" t="str">
        <x:v>1H2026 / Q2 2026</x:v>
      </x:c>
      <x:c r="C22" s="28"/>
      <x:c r="D22" s="28" t="n">
        <x:v>8950.76</x:v>
      </x:c>
      <x:c r="E22" s="28" t="n">
        <x:v>18925.72</x:v>
      </x:c>
      <x:c r="F22" s="71" t="n">
        <x:v>-0.527058415743232</x:v>
      </x:c>
      <x:c r="G22" s="26" t="n">
        <x:v>1.11</x:v>
      </x:c>
      <x:c r="H22" s="26" t="n">
        <x:v>285995.09</x:v>
      </x:c>
      <x:c r="I22" s="26"/>
      <x:c r="J22" s="130"/>
      <x:c r="K22" s="26" t="str">
        <x:v>https://lssmedia.setlink.set.or.th/2026/6M/CPF-6M69-ListedCompanySnapshot-EN.html</x:v>
      </x:c>
      <x:c r="L22" s="26" t="str">
        <x:v>1H26 NPAT THB8.95bn -53% YoY; sales pressured by meat-price normalization and FX translation.</x:v>
      </x:c>
      <x:c r="M22" s="70"/>
      <x:c r="N22" s="26" t="str">
        <x:v>Pending source</x:v>
      </x:c>
      <x:c r="O22" s="26" t="str">
        <x:v>Use Net Debt/EBITDA from company IR when refreshed; leverage remains material.</x:v>
      </x:c>
    </x:row>
    <x:row r="23">
      <x:c r="A23" s="26" t="str">
        <x:v>TOP</x:v>
      </x:c>
      <x:c r="B23" s="26" t="str">
        <x:v>1H2026 / Q2 2026</x:v>
      </x:c>
      <x:c r="C23" s="28"/>
      <x:c r="D23" s="28"/>
      <x:c r="E23" s="28"/>
      <x:c r="F23" s="71"/>
      <x:c r="G23" s="26"/>
      <x:c r="H23" s="26"/>
      <x:c r="I23" s="26" t="n">
        <x:v>41384.2</x:v>
      </x:c>
      <x:c r="J23" s="130"/>
      <x:c r="K23" s="26" t="str">
        <x:v>https://www.set.or.th/en/market/product/stock/quote/TOP/factsheet</x:v>
      </x:c>
      <x:c r="L23" s="26" t="str">
        <x:v>SET TTM EBITDA THB41.38bn. Refining cycle and Clean Fuel Project execution dominate earnings/risk.</x:v>
      </x:c>
      <x:c r="M23" s="70"/>
      <x:c r="N23" s="26" t="str">
        <x:v>Pending source</x:v>
      </x:c>
      <x:c r="O23" s="26" t="str">
        <x:v>Monitor net debt, project capex and covenant headroom; verified SET EV/EBITDA 5.37x.</x:v>
      </x:c>
    </x:row>
    <x:row r="24">
      <x:c r="A24" s="26" t="str">
        <x:v>IVL</x:v>
      </x:c>
      <x:c r="B24" s="26" t="str">
        <x:v>1H2026 / Q2 2026</x:v>
      </x:c>
      <x:c r="C24" s="28"/>
      <x:c r="D24" s="28"/>
      <x:c r="E24" s="28"/>
      <x:c r="F24" s="71"/>
      <x:c r="G24" s="26"/>
      <x:c r="H24" s="26" t="n">
        <x:v>247183.16</x:v>
      </x:c>
      <x:c r="I24" s="26" t="n">
        <x:v>26246.13</x:v>
      </x:c>
      <x:c r="J24" s="130"/>
      <x:c r="K24" s="26" t="str">
        <x:v>https://www.set.or.th/en/market/product/stock/quote/IVL/factsheet</x:v>
      </x:c>
      <x:c r="L24" s="26" t="str">
        <x:v>Q2/6M26 remains a recovery/restructuring period; SET TTM EBITDA THB26.25bn. P/E not meaningful due trailing loss.</x:v>
      </x:c>
      <x:c r="M24" s="70" t="n">
        <x:v>3.92</x:v>
      </x:c>
      <x:c r="N24" s="26" t="str">
        <x:v>Calculation</x:v>
      </x:c>
      <x:c r="O24" s="26" t="str">
        <x:v>Approx. net debt/EBITDA = (EV - Market Cap) / EBITDA ≈ 3.9x; screening only.</x:v>
      </x:c>
    </x:row>
    <x:row r="25">
      <x:c r="A25" s="26" t="str">
        <x:v>THAI</x:v>
      </x:c>
      <x:c r="B25" s="26" t="str">
        <x:v>1H2026 / Q2 2026</x:v>
      </x:c>
      <x:c r="C25" s="28"/>
      <x:c r="D25" s="28" t="n">
        <x:v>11620.84</x:v>
      </x:c>
      <x:c r="E25" s="28" t="n">
        <x:v>21955.98</x:v>
      </x:c>
      <x:c r="F25" s="71" t="n">
        <x:v>-0.4707209607587546</x:v>
      </x:c>
      <x:c r="G25" s="26" t="n">
        <x:v>0.41</x:v>
      </x:c>
      <x:c r="H25" s="26" t="n">
        <x:v>103095.57</x:v>
      </x:c>
      <x:c r="I25" s="26"/>
      <x:c r="J25" s="130"/>
      <x:c r="K25" s="26" t="str">
        <x:v>https://lssmedia.setlink.set.or.th/2026/6M/THAI-6M69-ListedCompanySnapshot-EN.html</x:v>
      </x:c>
      <x:c r="L25" s="26" t="str">
        <x:v>1H26 NPAT THB11.62bn -47% YoY; passenger yield improved but fuel cost and Middle East disruption pressured margin.</x:v>
      </x:c>
      <x:c r="M25" s="70" t="n">
        <x:v>2.06</x:v>
      </x:c>
      <x:c r="N25" s="26" t="str">
        <x:v>Calculation</x:v>
      </x:c>
      <x:c r="O25" s="26" t="str">
        <x:v>Approx. net debt/EBITDA = (SET EV - Market Cap) / SET EBITDA ≈ 2.06x; D/E 2.94x at 6M26.</x:v>
      </x:c>
    </x:row>
    <x:row r="26">
      <x:c r="A26" s="26" t="str">
        <x:v>BH</x:v>
      </x:c>
      <x:c r="B26" s="26" t="str">
        <x:v>1H2026 / Q2 2026</x:v>
      </x:c>
      <x:c r="C26" s="28" t="n">
        <x:v>1889</x:v>
      </x:c>
      <x:c r="D26" s="28" t="n">
        <x:v>3679.19</x:v>
      </x:c>
      <x:c r="E26" s="28" t="n">
        <x:v>3591.46</x:v>
      </x:c>
      <x:c r="F26" s="71" t="n">
        <x:v>0.024427391645737373</x:v>
      </x:c>
      <x:c r="G26" s="26" t="n">
        <x:v>4.63</x:v>
      </x:c>
      <x:c r="H26" s="26" t="n">
        <x:v>12631.99</x:v>
      </x:c>
      <x:c r="I26" s="26"/>
      <x:c r="J26" s="130"/>
      <x:c r="K26" s="26" t="str">
        <x:v>https://lssmedia.setlink.set.or.th/2026/6M/BH-6M69-ListedCompanySnapshot-EN.html</x:v>
      </x:c>
      <x:c r="L26" s="26" t="str">
        <x:v>Q2 NPAT THB1.889bn +1.7% YoY; 1H26 NPAT THB3.679bn +2.4%; D/E only 0.20x.</x:v>
      </x:c>
      <x:c r="M26" s="70" t="n">
        <x:v>0</x:v>
      </x:c>
      <x:c r="N26" s="26" t="str">
        <x:v>Net Cash / very low leverage</x:v>
      </x:c>
      <x:c r="O26" s="26" t="str">
        <x:v>SET EV below Market Cap implies net cash; Debt/EBITDA not a binding risk metric.</x:v>
      </x:c>
    </x:row>
    <x:row r="27">
      <x:c r="A27" s="26" t="str">
        <x:v>CPAXT</x:v>
      </x:c>
      <x:c r="B27" s="26" t="str">
        <x:v>1H2026 / Q2 2026</x:v>
      </x:c>
      <x:c r="C27" s="28" t="n">
        <x:v>1874.37</x:v>
      </x:c>
      <x:c r="D27" s="28" t="n">
        <x:v>4668.02</x:v>
      </x:c>
      <x:c r="E27" s="28" t="n">
        <x:v>4929.46</x:v>
      </x:c>
      <x:c r="F27" s="71" t="n">
        <x:v>-0.053036235206290305</x:v>
      </x:c>
      <x:c r="G27" s="26" t="n">
        <x:v>0.45</x:v>
      </x:c>
      <x:c r="H27" s="26" t="n">
        <x:v>266647.47</x:v>
      </x:c>
      <x:c r="I27" s="26"/>
      <x:c r="J27" s="130"/>
      <x:c r="K27" s="26" t="str">
        <x:v>https://www.set.or.th/th/market/news-and-alert/newsdetails?id=105743901&amp;symbol=CPAXT</x:v>
      </x:c>
      <x:c r="L27" s="26" t="str">
        <x:v>1H26 attributable NPAT THB4.67bn -5.3% YoY; revenue from operations THB266.65bn +3.45%.</x:v>
      </x:c>
      <x:c r="M27" s="70" t="n">
        <x:v>5.26</x:v>
      </x:c>
      <x:c r="N27" s="26" t="str">
        <x:v>SET</x:v>
      </x:c>
      <x:c r="O27" s="26" t="str">
        <x:v>Total Interest Bearing Debt / EBITDA, 6M/2026 (TTM-adjusted by SET).</x:v>
      </x:c>
    </x:row>
    <x:row r="28">
      <x:c r="A28" s="26" t="str">
        <x:v>OR</x:v>
      </x:c>
      <x:c r="B28" s="26" t="str">
        <x:v>1H2026 / Q2 2026</x:v>
      </x:c>
      <x:c r="C28" s="28" t="n">
        <x:v>-1774.95</x:v>
      </x:c>
      <x:c r="D28" s="28" t="n">
        <x:v>639.8</x:v>
      </x:c>
      <x:c r="E28" s="28" t="n">
        <x:v>6611.28</x:v>
      </x:c>
      <x:c r="F28" s="71" t="n">
        <x:v>-0.9032260016214712</x:v>
      </x:c>
      <x:c r="G28" s="26" t="n">
        <x:v>-0.15</x:v>
      </x:c>
      <x:c r="H28" s="26"/>
      <x:c r="I28" s="26" t="n">
        <x:v>5561.19</x:v>
      </x:c>
      <x:c r="J28" s="130"/>
      <x:c r="K28" s="26" t="str">
        <x:v>https://www.set.or.th/en/market/news-and-alert/newsdetails?id=105675100&amp;symbol=OR</x:v>
      </x:c>
      <x:c r="L28" s="26" t="str">
        <x:v>Q2 loss THB1.775bn; 1H26 NPAT THB0.64bn vs THB6.61bn prior year. Earnings highly sensitive to oil inventory/margin.</x:v>
      </x:c>
      <x:c r="M28" s="70" t="n">
        <x:v>1.96</x:v>
      </x:c>
      <x:c r="N28" s="26" t="str">
        <x:v>Calculation</x:v>
      </x:c>
      <x:c r="O28" s="26" t="str">
        <x:v>Approx. net debt/EBITDA = (SET EV - Market Cap) / SET EBITDA ≈ 1.96x.</x:v>
      </x:c>
    </x:row>
    <x:row r="29">
      <x:c r="A29" s="26" t="str">
        <x:v>GPSC</x:v>
      </x:c>
      <x:c r="B29" s="26" t="str">
        <x:v>1H2026 / Q2 2026</x:v>
      </x:c>
      <x:c r="C29" s="28" t="n">
        <x:v>1819.1</x:v>
      </x:c>
      <x:c r="D29" s="28" t="n">
        <x:v>3538.45</x:v>
      </x:c>
      <x:c r="E29" s="28" t="n">
        <x:v>3159.29</x:v>
      </x:c>
      <x:c r="F29" s="71" t="n">
        <x:v>0.12001430701201854</x:v>
      </x:c>
      <x:c r="G29" s="26" t="n">
        <x:v>1.25</x:v>
      </x:c>
      <x:c r="H29" s="26" t="n">
        <x:v>38354.27</x:v>
      </x:c>
      <x:c r="I29" s="26" t="n">
        <x:v>10886.73</x:v>
      </x:c>
      <x:c r="J29" s="130"/>
      <x:c r="K29" s="26" t="str">
        <x:v>https://www.settrade.com/th/news-and-articles/news/105655800?symbol=GPSC</x:v>
      </x:c>
      <x:c r="L29" s="26" t="str">
        <x:v>1H26 NPAT THB3.54bn +12.0% YoY; Q2 THB1.82bn. Earnings supported by power/utilities and lower finance/fuel headwinds.</x:v>
      </x:c>
      <x:c r="M29" s="70" t="n">
        <x:v>9.46</x:v>
      </x:c>
      <x:c r="N29" s="26" t="str">
        <x:v>Calculation</x:v>
      </x:c>
      <x:c r="O29" s="26" t="str">
        <x:v>Approx. net debt/EBITDA = (SET EV - Market Cap) / SET EBITDA ≈ 9.46x; high leverage screening, use company debt metrics for covenant view.</x:v>
      </x:c>
    </x:row>
    <x:row r="30">
      <x:c r="A30" s="26" t="str">
        <x:v>SCGP</x:v>
      </x:c>
      <x:c r="B30" s="26" t="str">
        <x:v>1H2026 / Q2 2026</x:v>
      </x:c>
      <x:c r="C30" s="28" t="n">
        <x:v>2303.796</x:v>
      </x:c>
      <x:c r="D30" s="28" t="n">
        <x:v>3869.964</x:v>
      </x:c>
      <x:c r="E30" s="28" t="n">
        <x:v>1909.665</x:v>
      </x:c>
      <x:c r="F30" s="71" t="n">
        <x:v>1.0265145981101398</x:v>
      </x:c>
      <x:c r="G30" s="26" t="n">
        <x:v>0.90148</x:v>
      </x:c>
      <x:c r="H30" s="26" t="n">
        <x:v>62118.77</x:v>
      </x:c>
      <x:c r="I30" s="26" t="n">
        <x:v>10512.49</x:v>
      </x:c>
      <x:c r="J30" s="130"/>
      <x:c r="K30" s="26" t="str">
        <x:v>https://www.set.or.th/en/market/news-and-alert/newsdetails?id=105624000&amp;symbol=SCGP</x:v>
      </x:c>
      <x:c r="L30" s="26" t="str">
        <x:v>Q2 NPAT THB2.30bn; 1H26 NPAT THB3.87bn +102.6% YoY. Indonesia returned to profit and Vietnam remained strong.</x:v>
      </x:c>
      <x:c r="M30" s="70" t="n">
        <x:v>6.83</x:v>
      </x:c>
      <x:c r="N30" s="26" t="str">
        <x:v>Calculation</x:v>
      </x:c>
      <x:c r="O30" s="26" t="str">
        <x:v>Approx. net debt/EBITDA = (SET EV - Market Cap) / SET EBITDA; screening only.</x:v>
      </x:c>
    </x:row>
    <x:row r="31">
      <x:c r="A31" s="26" t="str">
        <x:v>MINT</x:v>
      </x:c>
      <x:c r="B31" s="26" t="str">
        <x:v>1H2026 / Q2 2026</x:v>
      </x:c>
      <x:c r="C31" s="28" t="n">
        <x:v>3308</x:v>
      </x:c>
      <x:c r="D31" s="28" t="n">
        <x:v>3956.78</x:v>
      </x:c>
      <x:c r="E31" s="28" t="n">
        <x:v>3502.37</x:v>
      </x:c>
      <x:c r="F31" s="71" t="n">
        <x:v>0.12974357363728006</x:v>
      </x:c>
      <x:c r="G31" s="26" t="n">
        <x:v>0.56</x:v>
      </x:c>
      <x:c r="H31" s="26" t="n">
        <x:v>80680.97</x:v>
      </x:c>
      <x:c r="I31" s="26" t="n">
        <x:v>21694.78</x:v>
      </x:c>
      <x:c r="J31" s="130"/>
      <x:c r="K31" s="26" t="str">
        <x:v>https://www.set.or.th/en/market/news-and-alert/newsdetails?id=105707100&amp;symbol=MINT</x:v>
      </x:c>
      <x:c r="L31" s="26" t="str">
        <x:v>1H26 NPAT THB3.96bn +13.0% YoY; revenue THB80.68bn; EBITDA THB21.69bn.</x:v>
      </x:c>
      <x:c r="M31" s="70" t="n">
        <x:v>9.21</x:v>
      </x:c>
      <x:c r="N31" s="26" t="str">
        <x:v>Calculation</x:v>
      </x:c>
      <x:c r="O31" s="26" t="str">
        <x:v>Approx. net debt/EBITDA = (SET EV - Market Cap) / EBITDA; screening only.</x:v>
      </x:c>
    </x:row>
    <x:row r="32">
      <x:c r="A32" s="26" t="str">
        <x:v>TISCO</x:v>
      </x:c>
      <x:c r="B32" s="26" t="str">
        <x:v>1H2026 / Q2 2026</x:v>
      </x:c>
      <x:c r="C32" s="28" t="n">
        <x:v>1763.85</x:v>
      </x:c>
      <x:c r="D32" s="28" t="n">
        <x:v>3497.47</x:v>
      </x:c>
      <x:c r="E32" s="28" t="n">
        <x:v>3286.9</x:v>
      </x:c>
      <x:c r="F32" s="71" t="n">
        <x:v>0.0640634032066687</x:v>
      </x:c>
      <x:c r="G32" s="26" t="n">
        <x:v>4.37</x:v>
      </x:c>
      <x:c r="H32" s="26"/>
      <x:c r="I32" s="26"/>
      <x:c r="J32" s="130"/>
      <x:c r="K32" s="26" t="str">
        <x:v>https://www.set.or.th/en/market/news-and-alert/newsdetails?id=105408900&amp;symbol=TISCO</x:v>
      </x:c>
      <x:c r="L32" s="26" t="str">
        <x:v>Bank: NPL 2.12%, Coverage 190%; 1H26 NPAT +6.4% YoY. Debt/EBITDA not meaningful.</x:v>
      </x:c>
      <x:c r="M32" s="70"/>
      <x:c r="N32" s="26" t="str">
        <x:v>N/A - Banking</x:v>
      </x:c>
      <x:c r="O32" s="26" t="str">
        <x:v>Use NPL, Coverage, CAR, ROE and funding metrics instead of Debt/EBITDA.</x:v>
      </x:c>
    </x:row>
    <x:row r="33">
      <x:c r="A33" s="26" t="str">
        <x:v>AWC</x:v>
      </x:c>
      <x:c r="B33" s="26" t="str">
        <x:v>1H2026 / Q2 2026</x:v>
      </x:c>
      <x:c r="C33" s="28" t="n">
        <x:v>1468.4</x:v>
      </x:c>
      <x:c r="D33" s="28" t="n">
        <x:v>3454.88</x:v>
      </x:c>
      <x:c r="E33" s="28" t="n">
        <x:v>3373.81</x:v>
      </x:c>
      <x:c r="F33" s="71" t="n">
        <x:v>0.024029213263343285</x:v>
      </x:c>
      <x:c r="G33" s="26" t="n">
        <x:v>0.1079</x:v>
      </x:c>
      <x:c r="H33" s="26"/>
      <x:c r="I33" s="26" t="n">
        <x:v>6375.79</x:v>
      </x:c>
      <x:c r="J33" s="130"/>
      <x:c r="K33" s="26" t="str">
        <x:v>https://www.set.or.th/en/market/news-and-alert/newsdetails?id=106186900&amp;symbol=AWC</x:v>
      </x:c>
      <x:c r="L33" s="26" t="str">
        <x:v>1H26 attributable NPAT THB3.45bn +2.4% YoY; asset portfolio remains in ramp-up phase.</x:v>
      </x:c>
      <x:c r="M33" s="70" t="n">
        <x:v>14.9</x:v>
      </x:c>
      <x:c r="N33" s="26" t="str">
        <x:v>Calculation</x:v>
      </x:c>
      <x:c r="O33" s="26" t="str">
        <x:v>Approx. net debt/EBITDA from SET EV/market cap/EBITDA; screening only.</x:v>
      </x:c>
    </x:row>
    <x:row r="34">
      <x:c r="A34" s="26" t="str">
        <x:v>BEM</x:v>
      </x:c>
      <x:c r="B34" s="26" t="str">
        <x:v>1H2026 / Q2 2026</x:v>
      </x:c>
      <x:c r="C34" s="28" t="n">
        <x:v>1011.88</x:v>
      </x:c>
      <x:c r="D34" s="28" t="n">
        <x:v>1886.65</x:v>
      </x:c>
      <x:c r="E34" s="28" t="n">
        <x:v>1864.11</x:v>
      </x:c>
      <x:c r="F34" s="71" t="n">
        <x:v>0.012091561120320282</x:v>
      </x:c>
      <x:c r="G34" s="26" t="n">
        <x:v>0.13</x:v>
      </x:c>
      <x:c r="H34" s="26" t="n">
        <x:v>8264.28</x:v>
      </x:c>
      <x:c r="I34" s="26" t="n">
        <x:v>4483.23</x:v>
      </x:c>
      <x:c r="J34" s="130"/>
      <x:c r="K34" s="26" t="str">
        <x:v>https://www.set.or.th/en/market/news-and-alert/newsdetails?id=106053900&amp;symbol=BEM</x:v>
      </x:c>
      <x:c r="L34" s="26" t="str">
        <x:v>1H26 NPAT THB1.89bn +1.2% YoY; revenue THB8.26bn; EBITDA THB4.48bn.</x:v>
      </x:c>
      <x:c r="M34" s="70" t="n">
        <x:v>28.2</x:v>
      </x:c>
      <x:c r="N34" s="26" t="str">
        <x:v>Calculation</x:v>
      </x:c>
      <x:c r="O34" s="26" t="str">
        <x:v>Approx. net debt/EBITDA = (SET EV - Market Cap) / EBITDA; concession/project-finance structure limits comparability.</x:v>
      </x:c>
    </x:row>
    <x:row r="35">
      <x:c r="A35" s="26" t="str">
        <x:v>KCE</x:v>
      </x:c>
      <x:c r="B35" s="26" t="str">
        <x:v>1H2026 / Q2 2026</x:v>
      </x:c>
      <x:c r="C35" s="28" t="n">
        <x:v>275.917</x:v>
      </x:c>
      <x:c r="D35" s="28" t="n">
        <x:v>510.189</x:v>
      </x:c>
      <x:c r="E35" s="28" t="n">
        <x:v>411.947</x:v>
      </x:c>
      <x:c r="F35" s="71" t="n">
        <x:v>0.23848213483773395</x:v>
      </x:c>
      <x:c r="G35" s="26" t="n">
        <x:v>0.43</x:v>
      </x:c>
      <x:c r="H35" s="26"/>
      <x:c r="I35" s="26" t="n">
        <x:v>1136.87</x:v>
      </x:c>
      <x:c r="J35" s="130"/>
      <x:c r="K35" s="26" t="str">
        <x:v>https://www.set.or.th/en/market/news-and-alert/newsdetails?id=105907100&amp;symbol=KCE</x:v>
      </x:c>
      <x:c r="L35" s="26" t="str">
        <x:v>Q2 NPAT THB276m +51.5% YoY; 1H26 NPAT THB510m +23.8% YoY. SET EV below market cap implies net cash.</x:v>
      </x:c>
      <x:c r="M35" s="70" t="n">
        <x:v>0</x:v>
      </x:c>
      <x:c r="N35" s="26" t="str">
        <x:v>Net Cash / Calculation</x:v>
      </x:c>
      <x:c r="O35" s="26" t="str">
        <x:v>EV below market cap; Debt/EBITDA is not a binding risk metric.</x:v>
      </x:c>
    </x:row>
    <x:row r="36">
      <x:c r="A36" s="26" t="str">
        <x:v>KTC</x:v>
      </x:c>
      <x:c r="B36" s="26" t="str">
        <x:v>1H2026 / Q2 2026</x:v>
      </x:c>
      <x:c r="C36" s="28" t="n">
        <x:v>2225.308</x:v>
      </x:c>
      <x:c r="D36" s="28" t="n">
        <x:v>4396.542</x:v>
      </x:c>
      <x:c r="E36" s="28" t="n">
        <x:v>3755.301</x:v>
      </x:c>
      <x:c r="F36" s="71" t="n">
        <x:v>0.17075621900880922</x:v>
      </x:c>
      <x:c r="G36" s="26" t="n">
        <x:v>1.71</x:v>
      </x:c>
      <x:c r="H36" s="26"/>
      <x:c r="I36" s="26"/>
      <x:c r="J36" s="130"/>
      <x:c r="K36" s="26" t="str">
        <x:v>https://www.set.or.th/en/market/news-and-alert/newsdetails?id=105460300&amp;symbol=KTC</x:v>
      </x:c>
      <x:c r="L36" s="26" t="str">
        <x:v>Finance company: 1H26 NPAT THB4.40bn +17.1% YoY; NPL 1.86%, Coverage 426.3%, ROE ~20%.</x:v>
      </x:c>
      <x:c r="M36" s="70"/>
      <x:c r="N36" s="26" t="str">
        <x:v>N/A - Finance</x:v>
      </x:c>
      <x:c r="O36" s="26" t="str">
        <x:v>Use NPL, Coverage, credit cost, ROE and funding metrics instead of Debt/EBITDA.</x:v>
      </x:c>
    </x:row>
    <x:row r="37">
      <x:c r="A37" s="26" t="str">
        <x:v>HMPRO</x:v>
      </x:c>
      <x:c r="B37" s="26" t="str">
        <x:v>1H2026 / Q2 2026</x:v>
      </x:c>
      <x:c r="C37" s="28" t="n">
        <x:v>1594.181</x:v>
      </x:c>
      <x:c r="D37" s="28" t="n">
        <x:v>2998.152</x:v>
      </x:c>
      <x:c r="E37" s="28" t="n">
        <x:v>3105.93</x:v>
      </x:c>
      <x:c r="F37" s="71" t="n">
        <x:v>-0.034700717659444935</x:v>
      </x:c>
      <x:c r="G37" s="26" t="n">
        <x:v>0.23</x:v>
      </x:c>
      <x:c r="H37" s="26"/>
      <x:c r="I37" s="26" t="n">
        <x:v>5944.46</x:v>
      </x:c>
      <x:c r="J37" s="130"/>
      <x:c r="K37" s="26" t="str">
        <x:v>https://www.set.or.th/en/market/news-and-alert/newsdetails?id=105535400&amp;symbol=HMPRO</x:v>
      </x:c>
      <x:c r="L37" s="26" t="str">
        <x:v>Q2 NPAT THB1.59bn +14.0% YoY; 1H26 NPAT THB3.00bn -3.5% YoY, showing sequential recovery despite weak consumption.</x:v>
      </x:c>
      <x:c r="M37" s="70" t="n">
        <x:v>3.74</x:v>
      </x:c>
      <x:c r="N37" s="26" t="str">
        <x:v>Calculation</x:v>
      </x:c>
      <x:c r="O37" s="26" t="str">
        <x:v>Approx. net debt/EBITDA = (SET EV - Market Cap) / SET EBITDA; lease accounting can affect comparability.</x:v>
      </x:c>
    </x:row>
    <x:row r="38">
      <x:c r="A38" s="26" t="str">
        <x:v>RATCH</x:v>
      </x:c>
      <x:c r="B38" s="26" t="str">
        <x:v>1H2026 / Q2 2026</x:v>
      </x:c>
      <x:c r="C38" s="28"/>
      <x:c r="D38" s="28" t="n">
        <x:v>2627.98</x:v>
      </x:c>
      <x:c r="E38" s="28" t="n">
        <x:v>3277.11</x:v>
      </x:c>
      <x:c r="F38" s="71" t="n">
        <x:v>-0.19808001562352195</x:v>
      </x:c>
      <x:c r="G38" s="26"/>
      <x:c r="H38" s="26" t="n">
        <x:v>23205.61</x:v>
      </x:c>
      <x:c r="I38" s="26" t="n">
        <x:v>7613.23</x:v>
      </x:c>
      <x:c r="J38" s="130"/>
      <x:c r="K38" s="26" t="str">
        <x:v>https://lssmedia.setlink.set.or.th/2026/6M/RATCH-6M69-ListedCompanySnapshot-TH.html</x:v>
      </x:c>
      <x:c r="L38" s="26" t="str">
        <x:v>1H26 net profit THB2.63bn -19.8% YoY; revenue THB23.21bn. Holding-company structure makes simple Debt/EBITDA less comparable.</x:v>
      </x:c>
      <x:c r="M38" s="70" t="n">
        <x:v>15.13</x:v>
      </x:c>
      <x:c r="N38" s="26" t="str">
        <x:v>Calculation / Screening</x:v>
      </x:c>
      <x:c r="O38" s="26" t="str">
        <x:v>Approx. net debt/EBITDA from SET EV/market cap/EBITDA; use project debt/cash flow and ratings for leverage analysis.</x:v>
      </x:c>
    </x:row>
    <x:row r="39">
      <x:c r="A39" s="23" t="str"/>
      <x:c r="B39" s="23" t="str"/>
      <x:c r="C39" s="29" t="str"/>
      <x:c r="D39" s="29" t="str"/>
      <x:c r="E39" s="29" t="str"/>
      <x:c r="F39" s="60" t="str"/>
      <x:c r="G39" s="23" t="str"/>
      <x:c r="H39" s="23" t="str"/>
      <x:c r="I39" s="23" t="str"/>
      <x:c r="J39" s="59" t="str"/>
      <x:c r="K39" s="23" t="str"/>
      <x:c r="L39" s="23" t="str"/>
      <x:c r="M39" s="72"/>
      <x:c r="N39" s="23"/>
      <x:c r="O39" s="23"/>
    </x:row>
    <x:row r="40">
      <x:c r="A40" s="23" t="str"/>
      <x:c r="B40" s="23" t="str"/>
      <x:c r="C40" s="29" t="str"/>
      <x:c r="D40" s="29" t="str"/>
      <x:c r="E40" s="29" t="str"/>
      <x:c r="F40" s="60" t="str"/>
      <x:c r="G40" s="23" t="str"/>
      <x:c r="H40" s="23" t="str"/>
      <x:c r="I40" s="23" t="str"/>
      <x:c r="J40" s="59" t="str"/>
      <x:c r="K40" s="23" t="str"/>
      <x:c r="L40" s="23" t="str"/>
      <x:c r="M40" s="72"/>
      <x:c r="N40" s="23"/>
      <x:c r="O40" s="23"/>
    </x:row>
    <x:row r="41">
      <x:c r="A41" s="23" t="str"/>
      <x:c r="B41" s="23" t="str"/>
      <x:c r="C41" s="29" t="str"/>
      <x:c r="D41" s="29" t="str"/>
      <x:c r="E41" s="29" t="str"/>
      <x:c r="F41" s="60" t="str"/>
      <x:c r="G41" s="23" t="str"/>
      <x:c r="H41" s="23" t="str"/>
      <x:c r="I41" s="23" t="str"/>
      <x:c r="J41" s="59" t="str"/>
      <x:c r="K41" s="23" t="str"/>
      <x:c r="L41" s="23" t="str"/>
      <x:c r="M41" s="72"/>
      <x:c r="N41" s="23"/>
      <x:c r="O41" s="23"/>
    </x:row>
    <x:row r="42">
      <x:c r="A42" s="23" t="str"/>
      <x:c r="B42" s="23" t="str"/>
      <x:c r="C42" s="29" t="str"/>
      <x:c r="D42" s="29" t="str"/>
      <x:c r="E42" s="29" t="str"/>
      <x:c r="F42" s="60" t="str"/>
      <x:c r="G42" s="23" t="str"/>
      <x:c r="H42" s="23" t="str"/>
      <x:c r="I42" s="23" t="str"/>
      <x:c r="J42" s="59" t="str"/>
      <x:c r="K42" s="23" t="str"/>
      <x:c r="L42" s="23" t="str"/>
      <x:c r="M42" s="72"/>
      <x:c r="N42" s="23"/>
      <x:c r="O42" s="23"/>
    </x:row>
    <x:row r="43">
      <x:c r="A43" s="23" t="str"/>
      <x:c r="B43" s="23" t="str"/>
      <x:c r="C43" s="29" t="str"/>
      <x:c r="D43" s="29" t="str"/>
      <x:c r="E43" s="29" t="str"/>
      <x:c r="F43" s="60" t="str"/>
      <x:c r="G43" s="23" t="str"/>
      <x:c r="H43" s="23" t="str"/>
      <x:c r="I43" s="23" t="str"/>
      <x:c r="J43" s="59" t="str"/>
      <x:c r="K43" s="23" t="str"/>
      <x:c r="L43" s="23" t="str"/>
      <x:c r="M43" s="72"/>
      <x:c r="N43" s="23"/>
      <x:c r="O43" s="23"/>
    </x:row>
    <x:row r="44">
      <x:c r="A44" s="23" t="str"/>
      <x:c r="B44" s="23" t="str"/>
      <x:c r="C44" s="29" t="str"/>
      <x:c r="D44" s="29" t="str"/>
      <x:c r="E44" s="29" t="str"/>
      <x:c r="F44" s="60" t="str"/>
      <x:c r="G44" s="23" t="str"/>
      <x:c r="H44" s="23" t="str"/>
      <x:c r="I44" s="23" t="str"/>
      <x:c r="J44" s="59" t="str"/>
      <x:c r="K44" s="23" t="str"/>
      <x:c r="L44" s="23" t="str"/>
      <x:c r="M44" s="72"/>
      <x:c r="N44" s="23"/>
      <x:c r="O44" s="23"/>
    </x:row>
    <x:row r="45">
      <x:c r="A45" s="23" t="str"/>
      <x:c r="B45" s="23" t="str"/>
      <x:c r="C45" s="29" t="str"/>
      <x:c r="D45" s="29" t="str"/>
      <x:c r="E45" s="29" t="str"/>
      <x:c r="F45" s="60" t="str"/>
      <x:c r="G45" s="23" t="str"/>
      <x:c r="H45" s="23" t="str"/>
      <x:c r="I45" s="23" t="str"/>
      <x:c r="J45" s="59" t="str"/>
      <x:c r="K45" s="23" t="str"/>
      <x:c r="L45" s="23" t="str"/>
      <x:c r="M45" s="72"/>
      <x:c r="N45" s="23"/>
      <x:c r="O45" s="23"/>
    </x:row>
    <x:row r="46">
      <x:c r="A46" s="23" t="str"/>
      <x:c r="B46" s="23" t="str"/>
      <x:c r="C46" s="29" t="str"/>
      <x:c r="D46" s="29" t="str"/>
      <x:c r="E46" s="29" t="str"/>
      <x:c r="F46" s="60" t="str"/>
      <x:c r="G46" s="23" t="str"/>
      <x:c r="H46" s="23" t="str"/>
      <x:c r="I46" s="23" t="str"/>
      <x:c r="J46" s="59" t="str"/>
      <x:c r="K46" s="23" t="str"/>
      <x:c r="L46" s="23" t="str"/>
      <x:c r="M46" s="72"/>
      <x:c r="N46" s="23"/>
      <x:c r="O46" s="23"/>
    </x:row>
    <x:row r="47">
      <x:c r="A47" s="23" t="str"/>
      <x:c r="B47" s="23" t="str"/>
      <x:c r="C47" s="29" t="str"/>
      <x:c r="D47" s="29" t="str"/>
      <x:c r="E47" s="29" t="str"/>
      <x:c r="F47" s="60" t="str"/>
      <x:c r="G47" s="23" t="str"/>
      <x:c r="H47" s="23" t="str"/>
      <x:c r="I47" s="23" t="str"/>
      <x:c r="J47" s="59" t="str"/>
      <x:c r="K47" s="23" t="str"/>
      <x:c r="L47" s="23" t="str"/>
      <x:c r="M47" s="72"/>
      <x:c r="N47" s="23"/>
      <x:c r="O47" s="23"/>
    </x:row>
    <x:row r="48">
      <x:c r="A48" s="23" t="str"/>
      <x:c r="B48" s="23" t="str"/>
      <x:c r="C48" s="29" t="str"/>
      <x:c r="D48" s="29" t="str"/>
      <x:c r="E48" s="29" t="str"/>
      <x:c r="F48" s="60" t="str"/>
      <x:c r="G48" s="23" t="str"/>
      <x:c r="H48" s="23" t="str"/>
      <x:c r="I48" s="23" t="str"/>
      <x:c r="J48" s="59" t="str"/>
      <x:c r="K48" s="23" t="str"/>
      <x:c r="L48" s="23" t="str"/>
      <x:c r="M48" s="72"/>
      <x:c r="N48" s="23"/>
      <x:c r="O48" s="23"/>
    </x:row>
    <x:row r="49">
      <x:c r="A49" s="23" t="str"/>
      <x:c r="B49" s="23" t="str"/>
      <x:c r="C49" s="29" t="str"/>
      <x:c r="D49" s="29" t="str"/>
      <x:c r="E49" s="29" t="str"/>
      <x:c r="F49" s="60" t="str"/>
      <x:c r="G49" s="23" t="str"/>
      <x:c r="H49" s="23" t="str"/>
      <x:c r="I49" s="23" t="str"/>
      <x:c r="J49" s="59" t="str"/>
      <x:c r="K49" s="23" t="str"/>
      <x:c r="L49" s="23" t="str"/>
      <x:c r="M49" s="72"/>
      <x:c r="N49" s="23"/>
      <x:c r="O49" s="23"/>
    </x:row>
    <x:row r="50">
      <x:c r="A50" s="23" t="str"/>
      <x:c r="B50" s="23" t="str"/>
      <x:c r="C50" s="29" t="str"/>
      <x:c r="D50" s="29" t="str"/>
      <x:c r="E50" s="29" t="str"/>
      <x:c r="F50" s="60" t="str"/>
      <x:c r="G50" s="23" t="str"/>
      <x:c r="H50" s="23" t="str"/>
      <x:c r="I50" s="23" t="str"/>
      <x:c r="J50" s="59" t="str"/>
      <x:c r="K50" s="23" t="str"/>
      <x:c r="L50" s="23" t="str"/>
      <x:c r="M50" s="72"/>
      <x:c r="N50" s="23"/>
      <x:c r="O50" s="23"/>
    </x:row>
    <x:row r="51">
      <x:c r="A51" s="23" t="str"/>
      <x:c r="B51" s="23" t="str"/>
      <x:c r="C51" s="29" t="str"/>
      <x:c r="D51" s="29" t="str"/>
      <x:c r="E51" s="29" t="str"/>
      <x:c r="F51" s="60" t="str"/>
      <x:c r="G51" s="23" t="str"/>
      <x:c r="H51" s="23" t="str"/>
      <x:c r="I51" s="23" t="str"/>
      <x:c r="J51" s="59" t="str"/>
      <x:c r="K51" s="23" t="str"/>
      <x:c r="L51" s="23" t="str"/>
      <x:c r="M51" s="72"/>
      <x:c r="N51" s="23"/>
      <x:c r="O51" s="23"/>
    </x:row>
    <x:row r="52">
      <x:c r="A52" s="23" t="str"/>
      <x:c r="B52" s="23" t="str"/>
      <x:c r="C52" s="29" t="str"/>
      <x:c r="D52" s="29" t="str"/>
      <x:c r="E52" s="29" t="str"/>
      <x:c r="F52" s="60" t="str"/>
      <x:c r="G52" s="23" t="str"/>
      <x:c r="H52" s="23" t="str"/>
      <x:c r="I52" s="23" t="str"/>
      <x:c r="J52" s="59" t="str"/>
      <x:c r="K52" s="23" t="str"/>
      <x:c r="L52" s="23" t="str"/>
      <x:c r="M52" s="72"/>
      <x:c r="N52" s="23"/>
      <x:c r="O52" s="23"/>
    </x:row>
    <x:row r="53">
      <x:c r="A53" s="23" t="str"/>
      <x:c r="B53" s="23" t="str"/>
      <x:c r="C53" s="29" t="str"/>
      <x:c r="D53" s="29" t="str"/>
      <x:c r="E53" s="29" t="str"/>
      <x:c r="F53" s="60" t="str"/>
      <x:c r="G53" s="23" t="str"/>
      <x:c r="H53" s="23" t="str"/>
      <x:c r="I53" s="23" t="str"/>
      <x:c r="J53" s="59" t="str"/>
      <x:c r="K53" s="23" t="str"/>
      <x:c r="L53" s="23" t="str"/>
      <x:c r="M53" s="72"/>
      <x:c r="N53" s="23"/>
      <x:c r="O53" s="23"/>
    </x:row>
    <x:row r="54">
      <x:c r="A54" s="23" t="str"/>
      <x:c r="B54" s="23" t="str"/>
      <x:c r="C54" s="29" t="str"/>
      <x:c r="D54" s="29" t="str"/>
      <x:c r="E54" s="29" t="str"/>
      <x:c r="F54" s="60" t="str"/>
      <x:c r="G54" s="23" t="str"/>
      <x:c r="H54" s="23" t="str"/>
      <x:c r="I54" s="23" t="str"/>
      <x:c r="J54" s="59" t="str"/>
      <x:c r="K54" s="23" t="str"/>
      <x:c r="L54" s="23" t="str"/>
      <x:c r="M54" s="72"/>
      <x:c r="N54" s="23"/>
      <x:c r="O54" s="23"/>
    </x:row>
    <x:row r="55">
      <x:c r="A55" s="23" t="str"/>
      <x:c r="B55" s="23" t="str"/>
      <x:c r="C55" s="29" t="str"/>
      <x:c r="D55" s="29" t="str"/>
      <x:c r="E55" s="29" t="str"/>
      <x:c r="F55" s="60" t="str"/>
      <x:c r="G55" s="23" t="str"/>
      <x:c r="H55" s="23" t="str"/>
      <x:c r="I55" s="23" t="str"/>
      <x:c r="J55" s="59" t="str"/>
      <x:c r="K55" s="23" t="str"/>
      <x:c r="L55" s="23" t="str"/>
      <x:c r="M55" s="72"/>
      <x:c r="N55" s="23"/>
      <x:c r="O55" s="23"/>
    </x:row>
    <x:row r="56">
      <x:c r="A56" s="23" t="str"/>
      <x:c r="B56" s="23" t="str"/>
      <x:c r="C56" s="29" t="str"/>
      <x:c r="D56" s="29" t="str"/>
      <x:c r="E56" s="29" t="str"/>
      <x:c r="F56" s="60" t="str"/>
      <x:c r="G56" s="23" t="str"/>
      <x:c r="H56" s="23" t="str"/>
      <x:c r="I56" s="23" t="str"/>
      <x:c r="J56" s="59" t="str"/>
      <x:c r="K56" s="23" t="str"/>
      <x:c r="L56" s="23" t="str"/>
      <x:c r="M56" s="72"/>
      <x:c r="N56" s="23"/>
      <x:c r="O56" s="23"/>
    </x:row>
    <x:row r="57">
      <x:c r="A57" s="23" t="str"/>
      <x:c r="B57" s="23" t="str"/>
      <x:c r="C57" s="29" t="str"/>
      <x:c r="D57" s="29" t="str"/>
      <x:c r="E57" s="29" t="str"/>
      <x:c r="F57" s="60" t="str"/>
      <x:c r="G57" s="23" t="str"/>
      <x:c r="H57" s="23" t="str"/>
      <x:c r="I57" s="23" t="str"/>
      <x:c r="J57" s="59" t="str"/>
      <x:c r="K57" s="23" t="str"/>
      <x:c r="L57" s="23" t="str"/>
      <x:c r="M57" s="72"/>
      <x:c r="N57" s="23"/>
      <x:c r="O57" s="23"/>
    </x:row>
    <x:row r="58">
      <x:c r="A58" s="23" t="str"/>
      <x:c r="B58" s="23" t="str"/>
      <x:c r="C58" s="29" t="str"/>
      <x:c r="D58" s="29" t="str"/>
      <x:c r="E58" s="29" t="str"/>
      <x:c r="F58" s="60" t="str"/>
      <x:c r="G58" s="23" t="str"/>
      <x:c r="H58" s="23" t="str"/>
      <x:c r="I58" s="23" t="str"/>
      <x:c r="J58" s="59" t="str"/>
      <x:c r="K58" s="23" t="str"/>
      <x:c r="L58" s="23" t="str"/>
      <x:c r="M58" s="72"/>
      <x:c r="N58" s="23"/>
      <x:c r="O58" s="23"/>
    </x:row>
    <x:row r="59">
      <x:c r="A59" s="23" t="str"/>
      <x:c r="B59" s="23" t="str"/>
      <x:c r="C59" s="29" t="str"/>
      <x:c r="D59" s="29" t="str"/>
      <x:c r="E59" s="29" t="str"/>
      <x:c r="F59" s="60" t="str"/>
      <x:c r="G59" s="23" t="str"/>
      <x:c r="H59" s="23" t="str"/>
      <x:c r="I59" s="23" t="str"/>
      <x:c r="J59" s="59" t="str"/>
      <x:c r="K59" s="23" t="str"/>
      <x:c r="L59" s="23" t="str"/>
      <x:c r="M59" s="72"/>
      <x:c r="N59" s="23"/>
      <x:c r="O59" s="23"/>
    </x:row>
    <x:row r="60">
      <x:c r="A60" s="23" t="str"/>
      <x:c r="B60" s="23" t="str"/>
      <x:c r="C60" s="29" t="str"/>
      <x:c r="D60" s="29" t="str"/>
      <x:c r="E60" s="29" t="str"/>
      <x:c r="F60" s="60" t="str"/>
      <x:c r="G60" s="23" t="str"/>
      <x:c r="H60" s="23" t="str"/>
      <x:c r="I60" s="23" t="str"/>
      <x:c r="J60" s="59" t="str"/>
      <x:c r="K60" s="23" t="str"/>
      <x:c r="L60" s="23" t="str"/>
      <x:c r="M60" s="72"/>
      <x:c r="N60" s="23"/>
      <x:c r="O60" s="23"/>
    </x:row>
    <x:row r="61">
      <x:c r="A61" s="23" t="str"/>
      <x:c r="B61" s="23" t="str"/>
      <x:c r="C61" s="29" t="str"/>
      <x:c r="D61" s="29" t="str"/>
      <x:c r="E61" s="29" t="str"/>
      <x:c r="F61" s="60" t="str"/>
      <x:c r="G61" s="23" t="str"/>
      <x:c r="H61" s="23" t="str"/>
      <x:c r="I61" s="23" t="str"/>
      <x:c r="J61" s="59" t="str"/>
      <x:c r="K61" s="23" t="str"/>
      <x:c r="L61" s="23" t="str"/>
      <x:c r="M61" s="72"/>
      <x:c r="N61" s="23"/>
      <x:c r="O61" s="23"/>
    </x:row>
    <x:row r="62">
      <x:c r="A62" s="23" t="str"/>
      <x:c r="B62" s="23" t="str"/>
      <x:c r="C62" s="29" t="str"/>
      <x:c r="D62" s="29" t="str"/>
      <x:c r="E62" s="29" t="str"/>
      <x:c r="F62" s="60" t="str"/>
      <x:c r="G62" s="23" t="str"/>
      <x:c r="H62" s="23" t="str"/>
      <x:c r="I62" s="23" t="str"/>
      <x:c r="J62" s="59" t="str"/>
      <x:c r="K62" s="23" t="str"/>
      <x:c r="L62" s="23" t="str"/>
      <x:c r="M62" s="72"/>
      <x:c r="N62" s="23"/>
      <x:c r="O62" s="23"/>
    </x:row>
    <x:row r="63">
      <x:c r="A63" s="23" t="str"/>
      <x:c r="B63" s="23" t="str"/>
      <x:c r="C63" s="29" t="str"/>
      <x:c r="D63" s="29" t="str"/>
      <x:c r="E63" s="29" t="str"/>
      <x:c r="F63" s="60" t="str"/>
      <x:c r="G63" s="23" t="str"/>
      <x:c r="H63" s="23" t="str"/>
      <x:c r="I63" s="23" t="str"/>
      <x:c r="J63" s="59" t="str"/>
      <x:c r="K63" s="23" t="str"/>
      <x:c r="L63" s="23" t="str"/>
      <x:c r="M63" s="72"/>
      <x:c r="N63" s="23"/>
      <x:c r="O63" s="23"/>
    </x:row>
    <x:row r="64">
      <x:c r="A64" s="23" t="str"/>
      <x:c r="B64" s="23" t="str"/>
      <x:c r="C64" s="29" t="str"/>
      <x:c r="D64" s="29" t="str"/>
      <x:c r="E64" s="29" t="str"/>
      <x:c r="F64" s="60" t="str"/>
      <x:c r="G64" s="23" t="str"/>
      <x:c r="H64" s="23" t="str"/>
      <x:c r="I64" s="23" t="str"/>
      <x:c r="J64" s="59" t="str"/>
      <x:c r="K64" s="23" t="str"/>
      <x:c r="L64" s="23" t="str"/>
      <x:c r="M64" s="72"/>
      <x:c r="N64" s="23"/>
      <x:c r="O64" s="23"/>
    </x:row>
    <x:row r="65">
      <x:c r="A65" s="23" t="str"/>
      <x:c r="B65" s="23" t="str"/>
      <x:c r="C65" s="29" t="str"/>
      <x:c r="D65" s="29" t="str"/>
      <x:c r="E65" s="29" t="str"/>
      <x:c r="F65" s="60" t="str"/>
      <x:c r="G65" s="23" t="str"/>
      <x:c r="H65" s="23" t="str"/>
      <x:c r="I65" s="23" t="str"/>
      <x:c r="J65" s="59" t="str"/>
      <x:c r="K65" s="23" t="str"/>
      <x:c r="L65" s="23" t="str"/>
      <x:c r="M65" s="72"/>
      <x:c r="N65" s="23"/>
      <x:c r="O65" s="23"/>
    </x:row>
    <x:row r="66">
      <x:c r="A66" s="23" t="str"/>
      <x:c r="B66" s="23" t="str"/>
      <x:c r="C66" s="29" t="str"/>
      <x:c r="D66" s="29" t="str"/>
      <x:c r="E66" s="29" t="str"/>
      <x:c r="F66" s="60" t="str"/>
      <x:c r="G66" s="23" t="str"/>
      <x:c r="H66" s="23" t="str"/>
      <x:c r="I66" s="23" t="str"/>
      <x:c r="J66" s="59" t="str"/>
      <x:c r="K66" s="23" t="str"/>
      <x:c r="L66" s="23" t="str"/>
      <x:c r="M66" s="72"/>
      <x:c r="N66" s="23"/>
      <x:c r="O66" s="23"/>
    </x:row>
    <x:row r="67">
      <x:c r="A67" s="23" t="str"/>
      <x:c r="B67" s="23" t="str"/>
      <x:c r="C67" s="29" t="str"/>
      <x:c r="D67" s="29" t="str"/>
      <x:c r="E67" s="29" t="str"/>
      <x:c r="F67" s="60" t="str"/>
      <x:c r="G67" s="23" t="str"/>
      <x:c r="H67" s="23" t="str"/>
      <x:c r="I67" s="23" t="str"/>
      <x:c r="J67" s="59" t="str"/>
      <x:c r="K67" s="23" t="str"/>
      <x:c r="L67" s="23" t="str"/>
      <x:c r="M67" s="72"/>
      <x:c r="N67" s="23"/>
      <x:c r="O67" s="23"/>
    </x:row>
    <x:row r="68">
      <x:c r="A68" s="23" t="str"/>
      <x:c r="B68" s="23" t="str"/>
      <x:c r="C68" s="29" t="str"/>
      <x:c r="D68" s="29" t="str"/>
      <x:c r="E68" s="29" t="str"/>
      <x:c r="F68" s="60" t="str"/>
      <x:c r="G68" s="23" t="str"/>
      <x:c r="H68" s="23" t="str"/>
      <x:c r="I68" s="23" t="str"/>
      <x:c r="J68" s="59" t="str"/>
      <x:c r="K68" s="23" t="str"/>
      <x:c r="L68" s="23" t="str"/>
      <x:c r="M68" s="72"/>
      <x:c r="N68" s="23"/>
      <x:c r="O68" s="23"/>
    </x:row>
    <x:row r="69">
      <x:c r="A69" s="23" t="str"/>
      <x:c r="B69" s="23" t="str"/>
      <x:c r="C69" s="29" t="str"/>
      <x:c r="D69" s="29" t="str"/>
      <x:c r="E69" s="29" t="str"/>
      <x:c r="F69" s="60" t="str"/>
      <x:c r="G69" s="23" t="str"/>
      <x:c r="H69" s="23" t="str"/>
      <x:c r="I69" s="23" t="str"/>
      <x:c r="J69" s="59" t="str"/>
      <x:c r="K69" s="23" t="str"/>
      <x:c r="L69" s="23" t="str"/>
      <x:c r="M69" s="72"/>
      <x:c r="N69" s="23"/>
      <x:c r="O69" s="23"/>
    </x:row>
    <x:row r="70">
      <x:c r="A70" s="23" t="str"/>
      <x:c r="B70" s="23" t="str"/>
      <x:c r="C70" s="29" t="str"/>
      <x:c r="D70" s="29" t="str"/>
      <x:c r="E70" s="29" t="str"/>
      <x:c r="F70" s="60" t="str"/>
      <x:c r="G70" s="23" t="str"/>
      <x:c r="H70" s="23" t="str"/>
      <x:c r="I70" s="23" t="str"/>
      <x:c r="J70" s="59" t="str"/>
      <x:c r="K70" s="23" t="str"/>
      <x:c r="L70" s="23" t="str"/>
      <x:c r="M70" s="72"/>
      <x:c r="N70" s="23"/>
      <x:c r="O70" s="23"/>
    </x:row>
    <x:row r="71">
      <x:c r="A71" s="23" t="str"/>
      <x:c r="B71" s="23" t="str"/>
      <x:c r="C71" s="29" t="str"/>
      <x:c r="D71" s="29" t="str"/>
      <x:c r="E71" s="29" t="str"/>
      <x:c r="F71" s="60" t="str"/>
      <x:c r="G71" s="23" t="str"/>
      <x:c r="H71" s="23" t="str"/>
      <x:c r="I71" s="23" t="str"/>
      <x:c r="J71" s="59" t="str"/>
      <x:c r="K71" s="23" t="str"/>
      <x:c r="L71" s="23" t="str"/>
      <x:c r="M71" s="72"/>
      <x:c r="N71" s="23"/>
      <x:c r="O71" s="23"/>
    </x:row>
    <x:row r="72">
      <x:c r="A72" s="23" t="str"/>
      <x:c r="B72" s="23" t="str"/>
      <x:c r="C72" s="29" t="str"/>
      <x:c r="D72" s="29" t="str"/>
      <x:c r="E72" s="29" t="str"/>
      <x:c r="F72" s="60" t="str"/>
      <x:c r="G72" s="23" t="str"/>
      <x:c r="H72" s="23" t="str"/>
      <x:c r="I72" s="23" t="str"/>
      <x:c r="J72" s="59" t="str"/>
      <x:c r="K72" s="23" t="str"/>
      <x:c r="L72" s="23" t="str"/>
      <x:c r="M72" s="72"/>
      <x:c r="N72" s="23"/>
      <x:c r="O72" s="23"/>
    </x:row>
    <x:row r="73">
      <x:c r="A73" s="23" t="str"/>
      <x:c r="B73" s="23" t="str"/>
      <x:c r="C73" s="29" t="str"/>
      <x:c r="D73" s="29" t="str"/>
      <x:c r="E73" s="29" t="str"/>
      <x:c r="F73" s="60" t="str"/>
      <x:c r="G73" s="23" t="str"/>
      <x:c r="H73" s="23" t="str"/>
      <x:c r="I73" s="23" t="str"/>
      <x:c r="J73" s="59" t="str"/>
      <x:c r="K73" s="23" t="str"/>
      <x:c r="L73" s="23" t="str"/>
      <x:c r="M73" s="72"/>
      <x:c r="N73" s="23"/>
      <x:c r="O73" s="23"/>
    </x:row>
    <x:row r="74">
      <x:c r="A74" s="23" t="str"/>
      <x:c r="B74" s="23" t="str"/>
      <x:c r="C74" s="29" t="str"/>
      <x:c r="D74" s="29" t="str"/>
      <x:c r="E74" s="29" t="str"/>
      <x:c r="F74" s="60" t="str"/>
      <x:c r="G74" s="23" t="str"/>
      <x:c r="H74" s="23" t="str"/>
      <x:c r="I74" s="23" t="str"/>
      <x:c r="J74" s="59" t="str"/>
      <x:c r="K74" s="23" t="str"/>
      <x:c r="L74" s="23" t="str"/>
      <x:c r="M74" s="72"/>
      <x:c r="N74" s="23"/>
      <x:c r="O74" s="23"/>
    </x:row>
    <x:row r="75">
      <x:c r="A75" s="23" t="str"/>
      <x:c r="B75" s="23" t="str"/>
      <x:c r="C75" s="29" t="str"/>
      <x:c r="D75" s="29" t="str"/>
      <x:c r="E75" s="29" t="str"/>
      <x:c r="F75" s="60" t="str"/>
      <x:c r="G75" s="23" t="str"/>
      <x:c r="H75" s="23" t="str"/>
      <x:c r="I75" s="23" t="str"/>
      <x:c r="J75" s="59" t="str"/>
      <x:c r="K75" s="23" t="str"/>
      <x:c r="L75" s="23" t="str"/>
      <x:c r="M75" s="72"/>
      <x:c r="N75" s="23"/>
      <x:c r="O75" s="23"/>
    </x:row>
    <x:row r="76">
      <x:c r="A76" s="23" t="str"/>
      <x:c r="B76" s="23" t="str"/>
      <x:c r="C76" s="29" t="str"/>
      <x:c r="D76" s="29" t="str"/>
      <x:c r="E76" s="29" t="str"/>
      <x:c r="F76" s="60" t="str"/>
      <x:c r="G76" s="23" t="str"/>
      <x:c r="H76" s="23" t="str"/>
      <x:c r="I76" s="23" t="str"/>
      <x:c r="J76" s="59" t="str"/>
      <x:c r="K76" s="23" t="str"/>
      <x:c r="L76" s="23" t="str"/>
      <x:c r="M76" s="72"/>
      <x:c r="N76" s="23"/>
      <x:c r="O76" s="23"/>
    </x:row>
    <x:row r="77">
      <x:c r="A77" s="23" t="str"/>
      <x:c r="B77" s="23" t="str"/>
      <x:c r="C77" s="29" t="str"/>
      <x:c r="D77" s="29" t="str"/>
      <x:c r="E77" s="29" t="str"/>
      <x:c r="F77" s="60" t="str"/>
      <x:c r="G77" s="23" t="str"/>
      <x:c r="H77" s="23" t="str"/>
      <x:c r="I77" s="23" t="str"/>
      <x:c r="J77" s="59" t="str"/>
      <x:c r="K77" s="23" t="str"/>
      <x:c r="L77" s="23" t="str"/>
      <x:c r="M77" s="72"/>
      <x:c r="N77" s="23"/>
      <x:c r="O77" s="23"/>
    </x:row>
    <x:row r="78">
      <x:c r="A78" s="23" t="str"/>
      <x:c r="B78" s="23" t="str"/>
      <x:c r="C78" s="29" t="str"/>
      <x:c r="D78" s="29" t="str"/>
      <x:c r="E78" s="29" t="str"/>
      <x:c r="F78" s="60" t="str"/>
      <x:c r="G78" s="23" t="str"/>
      <x:c r="H78" s="23" t="str"/>
      <x:c r="I78" s="23" t="str"/>
      <x:c r="J78" s="59" t="str"/>
      <x:c r="K78" s="23" t="str"/>
      <x:c r="L78" s="23" t="str"/>
      <x:c r="M78" s="72"/>
      <x:c r="N78" s="23"/>
      <x:c r="O78" s="23"/>
    </x:row>
    <x:row r="79">
      <x:c r="A79" s="23" t="str"/>
      <x:c r="B79" s="23" t="str"/>
      <x:c r="C79" s="29" t="str"/>
      <x:c r="D79" s="29" t="str"/>
      <x:c r="E79" s="29" t="str"/>
      <x:c r="F79" s="60" t="str"/>
      <x:c r="G79" s="23" t="str"/>
      <x:c r="H79" s="23" t="str"/>
      <x:c r="I79" s="23" t="str"/>
      <x:c r="J79" s="59" t="str"/>
      <x:c r="K79" s="23" t="str"/>
      <x:c r="L79" s="23" t="str"/>
      <x:c r="M79" s="72"/>
      <x:c r="N79" s="23"/>
      <x:c r="O79" s="23"/>
    </x:row>
    <x:row r="80">
      <x:c r="A80" s="23" t="str"/>
      <x:c r="B80" s="23" t="str"/>
      <x:c r="C80" s="29" t="str"/>
      <x:c r="D80" s="29" t="str"/>
      <x:c r="E80" s="29" t="str"/>
      <x:c r="F80" s="60" t="str"/>
      <x:c r="G80" s="23" t="str"/>
      <x:c r="H80" s="23" t="str"/>
      <x:c r="I80" s="23" t="str"/>
      <x:c r="J80" s="59" t="str"/>
      <x:c r="K80" s="23" t="str"/>
      <x:c r="L80" s="23" t="str"/>
      <x:c r="M80" s="72"/>
      <x:c r="N80" s="23"/>
      <x:c r="O80" s="23"/>
    </x:row>
    <x:row r="81">
      <x:c r="A81" s="23" t="str"/>
      <x:c r="B81" s="23" t="str"/>
      <x:c r="C81" s="29" t="str"/>
      <x:c r="D81" s="29" t="str"/>
      <x:c r="E81" s="29" t="str"/>
      <x:c r="F81" s="60" t="str"/>
      <x:c r="G81" s="23" t="str"/>
      <x:c r="H81" s="23" t="str"/>
      <x:c r="I81" s="23" t="str"/>
      <x:c r="J81" s="59" t="str"/>
      <x:c r="K81" s="23" t="str"/>
      <x:c r="L81" s="23" t="str"/>
      <x:c r="M81" s="72"/>
      <x:c r="N81" s="23"/>
      <x:c r="O81" s="23"/>
    </x:row>
    <x:row r="82">
      <x:c r="A82" s="23" t="str"/>
      <x:c r="B82" s="23" t="str"/>
      <x:c r="C82" s="29" t="str"/>
      <x:c r="D82" s="29" t="str"/>
      <x:c r="E82" s="29" t="str"/>
      <x:c r="F82" s="60" t="str"/>
      <x:c r="G82" s="23" t="str"/>
      <x:c r="H82" s="23" t="str"/>
      <x:c r="I82" s="23" t="str"/>
      <x:c r="J82" s="59" t="str"/>
      <x:c r="K82" s="23" t="str"/>
      <x:c r="L82" s="23" t="str"/>
      <x:c r="M82" s="72"/>
      <x:c r="N82" s="23"/>
      <x:c r="O82" s="23"/>
    </x:row>
    <x:row r="83">
      <x:c r="A83" s="23" t="str"/>
      <x:c r="B83" s="23" t="str"/>
      <x:c r="C83" s="29" t="str"/>
      <x:c r="D83" s="29" t="str"/>
      <x:c r="E83" s="29" t="str"/>
      <x:c r="F83" s="60" t="str"/>
      <x:c r="G83" s="23" t="str"/>
      <x:c r="H83" s="23" t="str"/>
      <x:c r="I83" s="23" t="str"/>
      <x:c r="J83" s="59" t="str"/>
      <x:c r="K83" s="23" t="str"/>
      <x:c r="L83" s="23" t="str"/>
      <x:c r="M83" s="72"/>
      <x:c r="N83" s="23"/>
      <x:c r="O83" s="23"/>
    </x:row>
    <x:row r="84">
      <x:c r="A84" s="23" t="str"/>
      <x:c r="B84" s="23" t="str"/>
      <x:c r="C84" s="29" t="str"/>
      <x:c r="D84" s="29" t="str"/>
      <x:c r="E84" s="29" t="str"/>
      <x:c r="F84" s="60" t="str"/>
      <x:c r="G84" s="23" t="str"/>
      <x:c r="H84" s="23" t="str"/>
      <x:c r="I84" s="23" t="str"/>
      <x:c r="J84" s="59" t="str"/>
      <x:c r="K84" s="23" t="str"/>
      <x:c r="L84" s="23" t="str"/>
      <x:c r="M84" s="72"/>
      <x:c r="N84" s="23"/>
      <x:c r="O84" s="23"/>
    </x:row>
    <x:row r="85">
      <x:c r="A85" s="23" t="str"/>
      <x:c r="B85" s="23" t="str"/>
      <x:c r="C85" s="29" t="str"/>
      <x:c r="D85" s="29" t="str"/>
      <x:c r="E85" s="29" t="str"/>
      <x:c r="F85" s="60" t="str"/>
      <x:c r="G85" s="23" t="str"/>
      <x:c r="H85" s="23" t="str"/>
      <x:c r="I85" s="23" t="str"/>
      <x:c r="J85" s="59" t="str"/>
      <x:c r="K85" s="23" t="str"/>
      <x:c r="L85" s="23" t="str"/>
      <x:c r="M85" s="72"/>
      <x:c r="N85" s="23"/>
      <x:c r="O85" s="23"/>
    </x:row>
    <x:row r="86">
      <x:c r="A86" s="23" t="str"/>
      <x:c r="B86" s="23" t="str"/>
      <x:c r="C86" s="29" t="str"/>
      <x:c r="D86" s="29" t="str"/>
      <x:c r="E86" s="29" t="str"/>
      <x:c r="F86" s="60" t="str"/>
      <x:c r="G86" s="23" t="str"/>
      <x:c r="H86" s="23" t="str"/>
      <x:c r="I86" s="23" t="str"/>
      <x:c r="J86" s="59" t="str"/>
      <x:c r="K86" s="23" t="str"/>
      <x:c r="L86" s="23" t="str"/>
      <x:c r="M86" s="72"/>
      <x:c r="N86" s="23"/>
      <x:c r="O86" s="23"/>
    </x:row>
    <x:row r="87">
      <x:c r="A87" s="23" t="str"/>
      <x:c r="B87" s="23" t="str"/>
      <x:c r="C87" s="29" t="str"/>
      <x:c r="D87" s="29" t="str"/>
      <x:c r="E87" s="29" t="str"/>
      <x:c r="F87" s="60" t="str"/>
      <x:c r="G87" s="23" t="str"/>
      <x:c r="H87" s="23" t="str"/>
      <x:c r="I87" s="23" t="str"/>
      <x:c r="J87" s="59" t="str"/>
      <x:c r="K87" s="23" t="str"/>
      <x:c r="L87" s="23" t="str"/>
      <x:c r="M87" s="72"/>
      <x:c r="N87" s="23"/>
      <x:c r="O87" s="23"/>
    </x:row>
    <x:row r="88">
      <x:c r="A88" s="23" t="str"/>
      <x:c r="B88" s="23" t="str"/>
      <x:c r="C88" s="29" t="str"/>
      <x:c r="D88" s="29" t="str"/>
      <x:c r="E88" s="29" t="str"/>
      <x:c r="F88" s="60" t="str"/>
      <x:c r="G88" s="23" t="str"/>
      <x:c r="H88" s="23" t="str"/>
      <x:c r="I88" s="23" t="str"/>
      <x:c r="J88" s="59" t="str"/>
      <x:c r="K88" s="23" t="str"/>
      <x:c r="L88" s="23" t="str"/>
      <x:c r="M88" s="72"/>
      <x:c r="N88" s="23"/>
      <x:c r="O88" s="23"/>
    </x:row>
    <x:row r="89">
      <x:c r="A89" s="23" t="str"/>
      <x:c r="B89" s="23" t="str"/>
      <x:c r="C89" s="29" t="str"/>
      <x:c r="D89" s="29" t="str"/>
      <x:c r="E89" s="29" t="str"/>
      <x:c r="F89" s="60" t="str"/>
      <x:c r="G89" s="23" t="str"/>
      <x:c r="H89" s="23" t="str"/>
      <x:c r="I89" s="23" t="str"/>
      <x:c r="J89" s="59" t="str"/>
      <x:c r="K89" s="23" t="str"/>
      <x:c r="L89" s="23" t="str"/>
      <x:c r="M89" s="72"/>
      <x:c r="N89" s="23"/>
      <x:c r="O89" s="23"/>
    </x:row>
    <x:row r="90">
      <x:c r="A90" s="23" t="str"/>
      <x:c r="B90" s="23" t="str"/>
      <x:c r="C90" s="29" t="str"/>
      <x:c r="D90" s="29" t="str"/>
      <x:c r="E90" s="29" t="str"/>
      <x:c r="F90" s="60" t="str"/>
      <x:c r="G90" s="23" t="str"/>
      <x:c r="H90" s="23" t="str"/>
      <x:c r="I90" s="23" t="str"/>
      <x:c r="J90" s="59" t="str"/>
      <x:c r="K90" s="23" t="str"/>
      <x:c r="L90" s="23" t="str"/>
      <x:c r="M90" s="72"/>
      <x:c r="N90" s="23"/>
      <x:c r="O90" s="23"/>
    </x:row>
    <x:row r="91">
      <x:c r="A91" s="23" t="str"/>
      <x:c r="B91" s="23" t="str"/>
      <x:c r="C91" s="29" t="str"/>
      <x:c r="D91" s="29" t="str"/>
      <x:c r="E91" s="29" t="str"/>
      <x:c r="F91" s="60" t="str"/>
      <x:c r="G91" s="23" t="str"/>
      <x:c r="H91" s="23" t="str"/>
      <x:c r="I91" s="23" t="str"/>
      <x:c r="J91" s="59" t="str"/>
      <x:c r="K91" s="23" t="str"/>
      <x:c r="L91" s="23" t="str"/>
      <x:c r="M91" s="72"/>
      <x:c r="N91" s="23"/>
      <x:c r="O91" s="23"/>
    </x:row>
    <x:row r="92">
      <x:c r="A92" s="23" t="str"/>
      <x:c r="B92" s="23" t="str"/>
      <x:c r="C92" s="29" t="str"/>
      <x:c r="D92" s="29" t="str"/>
      <x:c r="E92" s="29" t="str"/>
      <x:c r="F92" s="60" t="str"/>
      <x:c r="G92" s="23" t="str"/>
      <x:c r="H92" s="23" t="str"/>
      <x:c r="I92" s="23" t="str"/>
      <x:c r="J92" s="59" t="str"/>
      <x:c r="K92" s="23" t="str"/>
      <x:c r="L92" s="23" t="str"/>
      <x:c r="M92" s="72"/>
      <x:c r="N92" s="23"/>
      <x:c r="O92" s="23"/>
    </x:row>
    <x:row r="93">
      <x:c r="A93" s="23" t="str"/>
      <x:c r="B93" s="23" t="str"/>
      <x:c r="C93" s="29" t="str"/>
      <x:c r="D93" s="29" t="str"/>
      <x:c r="E93" s="29" t="str"/>
      <x:c r="F93" s="60" t="str"/>
      <x:c r="G93" s="23" t="str"/>
      <x:c r="H93" s="23" t="str"/>
      <x:c r="I93" s="23" t="str"/>
      <x:c r="J93" s="59" t="str"/>
      <x:c r="K93" s="23" t="str"/>
      <x:c r="L93" s="23" t="str"/>
      <x:c r="M93" s="72"/>
      <x:c r="N93" s="23"/>
      <x:c r="O93" s="23"/>
    </x:row>
    <x:row r="94">
      <x:c r="A94" s="23" t="str"/>
      <x:c r="B94" s="23" t="str"/>
      <x:c r="C94" s="29" t="str"/>
      <x:c r="D94" s="29" t="str"/>
      <x:c r="E94" s="29" t="str"/>
      <x:c r="F94" s="60" t="str"/>
      <x:c r="G94" s="23" t="str"/>
      <x:c r="H94" s="23" t="str"/>
      <x:c r="I94" s="23" t="str"/>
      <x:c r="J94" s="59" t="str"/>
      <x:c r="K94" s="23" t="str"/>
      <x:c r="L94" s="23" t="str"/>
      <x:c r="M94" s="72"/>
      <x:c r="N94" s="23"/>
      <x:c r="O94" s="23"/>
    </x:row>
    <x:row r="95">
      <x:c r="A95" s="23" t="str"/>
      <x:c r="B95" s="23" t="str"/>
      <x:c r="C95" s="29" t="str"/>
      <x:c r="D95" s="29" t="str"/>
      <x:c r="E95" s="29" t="str"/>
      <x:c r="F95" s="60" t="str"/>
      <x:c r="G95" s="23" t="str"/>
      <x:c r="H95" s="23" t="str"/>
      <x:c r="I95" s="23" t="str"/>
      <x:c r="J95" s="59" t="str"/>
      <x:c r="K95" s="23" t="str"/>
      <x:c r="L95" s="23" t="str"/>
      <x:c r="M95" s="72"/>
      <x:c r="N95" s="23"/>
      <x:c r="O95" s="23"/>
    </x:row>
    <x:row r="96">
      <x:c r="A96" s="23" t="str"/>
      <x:c r="B96" s="23" t="str"/>
      <x:c r="C96" s="29" t="str"/>
      <x:c r="D96" s="29" t="str"/>
      <x:c r="E96" s="29" t="str"/>
      <x:c r="F96" s="60" t="str"/>
      <x:c r="G96" s="23" t="str"/>
      <x:c r="H96" s="23" t="str"/>
      <x:c r="I96" s="23" t="str"/>
      <x:c r="J96" s="59" t="str"/>
      <x:c r="K96" s="23" t="str"/>
      <x:c r="L96" s="23" t="str"/>
      <x:c r="M96" s="72"/>
      <x:c r="N96" s="23"/>
      <x:c r="O96" s="23"/>
    </x:row>
    <x:row r="97">
      <x:c r="A97" s="23" t="str"/>
      <x:c r="B97" s="23" t="str"/>
      <x:c r="C97" s="29" t="str"/>
      <x:c r="D97" s="29" t="str"/>
      <x:c r="E97" s="29" t="str"/>
      <x:c r="F97" s="60" t="str"/>
      <x:c r="G97" s="23" t="str"/>
      <x:c r="H97" s="23" t="str"/>
      <x:c r="I97" s="23" t="str"/>
      <x:c r="J97" s="59" t="str"/>
      <x:c r="K97" s="23" t="str"/>
      <x:c r="L97" s="23" t="str"/>
      <x:c r="M97" s="72"/>
      <x:c r="N97" s="23"/>
      <x:c r="O97" s="23"/>
    </x:row>
    <x:row r="98">
      <x:c r="A98" s="23" t="str"/>
      <x:c r="B98" s="23" t="str"/>
      <x:c r="C98" s="29" t="str"/>
      <x:c r="D98" s="29" t="str"/>
      <x:c r="E98" s="29" t="str"/>
      <x:c r="F98" s="60" t="str"/>
      <x:c r="G98" s="23" t="str"/>
      <x:c r="H98" s="23" t="str"/>
      <x:c r="I98" s="23" t="str"/>
      <x:c r="J98" s="59" t="str"/>
      <x:c r="K98" s="23" t="str"/>
      <x:c r="L98" s="23" t="str"/>
      <x:c r="M98" s="72"/>
      <x:c r="N98" s="23"/>
      <x:c r="O98" s="23"/>
    </x:row>
    <x:row r="99">
      <x:c r="A99" s="23" t="str"/>
      <x:c r="B99" s="23" t="str"/>
      <x:c r="C99" s="29" t="str"/>
      <x:c r="D99" s="29" t="str"/>
      <x:c r="E99" s="29" t="str"/>
      <x:c r="F99" s="60" t="str"/>
      <x:c r="G99" s="23" t="str"/>
      <x:c r="H99" s="23" t="str"/>
      <x:c r="I99" s="23" t="str"/>
      <x:c r="J99" s="59" t="str"/>
      <x:c r="K99" s="23" t="str"/>
      <x:c r="L99" s="23" t="str"/>
      <x:c r="M99" s="72"/>
      <x:c r="N99" s="23"/>
      <x:c r="O99" s="23"/>
    </x:row>
    <x:row r="100">
      <x:c r="A100" s="23" t="str"/>
      <x:c r="B100" s="23" t="str"/>
      <x:c r="C100" s="29" t="str"/>
      <x:c r="D100" s="29" t="str"/>
      <x:c r="E100" s="29" t="str"/>
      <x:c r="F100" s="60" t="str"/>
      <x:c r="G100" s="23" t="str"/>
      <x:c r="H100" s="23" t="str"/>
      <x:c r="I100" s="23" t="str"/>
      <x:c r="J100" s="59" t="str"/>
      <x:c r="K100" s="23" t="str"/>
      <x:c r="L100" s="23" t="str"/>
      <x:c r="M100" s="72"/>
      <x:c r="N100" s="23"/>
      <x:c r="O100" s="23"/>
    </x:row>
    <x:row r="101">
      <x:c r="A101" s="23" t="str"/>
      <x:c r="B101" s="23" t="str"/>
      <x:c r="C101" s="29" t="str"/>
      <x:c r="D101" s="29" t="str"/>
      <x:c r="E101" s="29" t="str"/>
      <x:c r="F101" s="60" t="str"/>
      <x:c r="G101" s="23" t="str"/>
      <x:c r="H101" s="23" t="str"/>
      <x:c r="I101" s="23" t="str"/>
      <x:c r="J101" s="59" t="str"/>
      <x:c r="K101" s="23" t="str"/>
      <x:c r="L101" s="23" t="str"/>
      <x:c r="M101" s="72"/>
      <x:c r="N101" s="23"/>
      <x:c r="O101" s="23"/>
    </x:row>
    <x:row r="102">
      <x:c r="A102" s="23" t="str"/>
      <x:c r="B102" s="23" t="str"/>
      <x:c r="C102" s="29" t="str"/>
      <x:c r="D102" s="29" t="str"/>
      <x:c r="E102" s="29" t="str"/>
      <x:c r="F102" s="60" t="str"/>
      <x:c r="G102" s="23" t="str"/>
      <x:c r="H102" s="23" t="str"/>
      <x:c r="I102" s="23" t="str"/>
      <x:c r="J102" s="59" t="str"/>
      <x:c r="K102" s="23" t="str"/>
      <x:c r="L102" s="23" t="str"/>
      <x:c r="M102" s="72"/>
      <x:c r="N102" s="23"/>
      <x:c r="O102" s="23"/>
    </x:row>
    <x:row r="103">
      <x:c r="A103" s="23" t="str"/>
      <x:c r="B103" s="23" t="str"/>
      <x:c r="C103" s="29" t="str"/>
      <x:c r="D103" s="29" t="str"/>
      <x:c r="E103" s="29" t="str"/>
      <x:c r="F103" s="60" t="str"/>
      <x:c r="G103" s="23" t="str"/>
      <x:c r="H103" s="23" t="str"/>
      <x:c r="I103" s="23" t="str"/>
      <x:c r="J103" s="59" t="str"/>
      <x:c r="K103" s="23" t="str"/>
      <x:c r="L103" s="23" t="str"/>
      <x:c r="M103" s="72"/>
      <x:c r="N103" s="23"/>
      <x:c r="O103" s="23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aed62001f684f4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18" hidden="0" customWidth="1"/>
    <x:col min="4" max="4" width="10" hidden="0" customWidth="1"/>
    <x:col min="5" max="5" width="10" hidden="0" customWidth="1"/>
    <x:col min="6" max="6" width="15" hidden="0" customWidth="1"/>
    <x:col min="7" max="7" width="14" hidden="0" customWidth="1"/>
    <x:col min="8" max="8" width="12" hidden="0" customWidth="1"/>
    <x:col min="9" max="9" width="34" hidden="0" customWidth="1"/>
    <x:col min="10" max="10" width="18" hidden="0" customWidth="1"/>
    <x:col min="11" max="11" width="14" hidden="0" customWidth="1"/>
    <x:col min="12" max="12" width="60" hidden="0" customWidth="1"/>
    <x:col min="13" max="13" width="58" hidden="0" customWidth="1"/>
  </x:cols>
  <x:sheetData>
    <x:row r="1" ht="30" customHeight="1">
      <x:c r="A1" s="5" t="str">
        <x:v>Valuation Snapshot</x:v>
      </x:c>
    </x:row>
    <x:row r="3" ht="30" customHeight="1">
      <x:c r="A3" s="14" t="str">
        <x:v>Ticker</x:v>
      </x:c>
      <x:c r="B3" s="14" t="str">
        <x:v>Price (THB)</x:v>
      </x:c>
      <x:c r="C3" s="14" t="str">
        <x:v>Market Cap (THB mn)</x:v>
      </x:c>
      <x:c r="D3" s="14" t="str">
        <x:v>P/E (x)</x:v>
      </x:c>
      <x:c r="E3" s="14" t="str">
        <x:v>P/BV (x)</x:v>
      </x:c>
      <x:c r="F3" s="14" t="str">
        <x:v>EV/EBITDA (x)</x:v>
      </x:c>
      <x:c r="G3" s="14" t="str">
        <x:v>Dividend Yield</x:v>
      </x:c>
      <x:c r="H3" s="14" t="str">
        <x:v>FCF Yield</x:v>
      </x:c>
      <x:c r="I3" s="14" t="str">
        <x:v>Valuation Method</x:v>
      </x:c>
      <x:c r="J3" s="14" t="str">
        <x:v>Conclusion</x:v>
      </x:c>
      <x:c r="K3" s="14" t="str">
        <x:v>Data Date</x:v>
      </x:c>
      <x:c r="L3" s="14" t="str">
        <x:v>SET Source</x:v>
      </x:c>
      <x:c r="M3" s="14" t="str">
        <x:v>Interpretation</x:v>
      </x:c>
    </x:row>
    <x:row r="4">
      <x:c r="A4" s="26" t="str">
        <x:v>DELTA</x:v>
      </x:c>
      <x:c r="B4" s="28" t="n">
        <x:v>268</x:v>
      </x:c>
      <x:c r="C4" s="28" t="n">
        <x:v>3342982.73</x:v>
      </x:c>
      <x:c r="D4" s="70" t="n">
        <x:v>111.98</x:v>
      </x:c>
      <x:c r="E4" s="70" t="n">
        <x:v>31.71</x:v>
      </x:c>
      <x:c r="F4" s="70" t="n">
        <x:v>75.35</x:v>
      </x:c>
      <x:c r="G4" s="71"/>
      <x:c r="H4" s="71"/>
      <x:c r="I4" s="26" t="str">
        <x:v>Relative multiples / business quality</x:v>
      </x:c>
      <x:c r="J4" s="26" t="str">
        <x:v>Very Expensive</x:v>
      </x:c>
      <x:c r="K4" s="26" t="str">
        <x:v>2026-10-07</x:v>
      </x:c>
      <x:c r="L4" s="26" t="str">
        <x:v>https://www.set.or.th/en/market/product/stock/quote/DELTA/factsheet</x:v>
      </x:c>
      <x:c r="M4" s="26" t="str">
        <x:v>Exceptional business quality is offset by an extreme starting multiple. Multiple compression is a material risk.</x:v>
      </x:c>
    </x:row>
    <x:row r="5">
      <x:c r="A5" s="26" t="str">
        <x:v>PTT</x:v>
      </x:c>
      <x:c r="B5" s="28" t="n">
        <x:v>40.5</x:v>
      </x:c>
      <x:c r="C5" s="28" t="n">
        <x:v>1156801.35</x:v>
      </x:c>
      <x:c r="D5" s="70" t="n">
        <x:v>9.28</x:v>
      </x:c>
      <x:c r="E5" s="70" t="n">
        <x:v>0.96</x:v>
      </x:c>
      <x:c r="F5" s="70" t="n">
        <x:v>5.08</x:v>
      </x:c>
      <x:c r="G5" s="71"/>
      <x:c r="H5" s="71"/>
      <x:c r="I5" s="26" t="str">
        <x:v>Relative multiples / business quality</x:v>
      </x:c>
      <x:c r="J5" s="26" t="str">
        <x:v>Cheap</x:v>
      </x:c>
      <x:c r="K5" s="26" t="str">
        <x:v>2026-10-07</x:v>
      </x:c>
      <x:c r="L5" s="26" t="str">
        <x:v>https://www.set.or.th/en/market/product/stock/quote/PTT/factsheet</x:v>
      </x:c>
      <x:c r="M5" s="26" t="str">
        <x:v>Low headline multiples and asset backing provide support, but re-rating may remain constrained by policy and conglomerate discount.</x:v>
      </x:c>
    </x:row>
    <x:row r="6">
      <x:c r="A6" s="26" t="str">
        <x:v>ADVANC</x:v>
      </x:c>
      <x:c r="B6" s="28" t="n">
        <x:v>339</x:v>
      </x:c>
      <x:c r="C6" s="28" t="n">
        <x:v>1008257.19</x:v>
      </x:c>
      <x:c r="D6" s="70" t="n">
        <x:v>18.95</x:v>
      </x:c>
      <x:c r="E6" s="70" t="n">
        <x:v>19.4</x:v>
      </x:c>
      <x:c r="F6" s="70" t="n">
        <x:v>9.69</x:v>
      </x:c>
      <x:c r="G6" s="71"/>
      <x:c r="H6" s="71"/>
      <x:c r="I6" s="26" t="str">
        <x:v>Relative multiples / business quality</x:v>
      </x:c>
      <x:c r="J6" s="26" t="str">
        <x:v>Fair Value</x:v>
      </x:c>
      <x:c r="K6" s="26" t="str">
        <x:v>2026-10-07</x:v>
      </x:c>
      <x:c r="L6" s="26" t="str">
        <x:v>https://www.set.or.th/en/market/product/stock/quote/ADVANC/factsheet</x:v>
      </x:c>
      <x:c r="M6" s="26" t="str">
        <x:v>Not cheap, but substantially more reasonable than extreme-growth names. Earnings growth can still drive returns without aggressive re-rating.</x:v>
      </x:c>
    </x:row>
    <x:row r="7">
      <x:c r="A7" s="26" t="str">
        <x:v>GULF</x:v>
      </x:c>
      <x:c r="B7" s="28" t="n">
        <x:v>59.75</x:v>
      </x:c>
      <x:c r="C7" s="28" t="n">
        <x:v>892655.3</x:v>
      </x:c>
      <x:c r="D7" s="70" t="n">
        <x:v>11.92</x:v>
      </x:c>
      <x:c r="E7" s="70" t="n">
        <x:v>2.83</x:v>
      </x:c>
      <x:c r="F7" s="70" t="n">
        <x:v>12.78</x:v>
      </x:c>
      <x:c r="G7" s="71"/>
      <x:c r="H7" s="71"/>
      <x:c r="I7" s="26" t="str">
        <x:v>SOTP preferred; headline multiples secondary</x:v>
      </x:c>
      <x:c r="J7" s="26" t="str">
        <x:v>Fair Value</x:v>
      </x:c>
      <x:c r="K7" s="26" t="str">
        <x:v>2026-10-07</x:v>
      </x:c>
      <x:c r="L7" s="26" t="str">
        <x:v>https://www.set.or.th/en/market/product/stock/quote/GULF/factsheet</x:v>
      </x:c>
      <x:c r="M7" s="26" t="str">
        <x:v>Headline P/E can be misleading due to amalgamation effects; SOTP is the preferred framework.</x:v>
      </x:c>
    </x:row>
    <x:row r="8">
      <x:c r="A8" s="26" t="str">
        <x:v>AOT</x:v>
      </x:c>
      <x:c r="B8" s="28" t="n">
        <x:v>59.75</x:v>
      </x:c>
      <x:c r="C8" s="28" t="n">
        <x:v>853570.58</x:v>
      </x:c>
      <x:c r="D8" s="70" t="n">
        <x:v>45.71</x:v>
      </x:c>
      <x:c r="E8" s="70" t="n">
        <x:v>6.36</x:v>
      </x:c>
      <x:c r="F8" s="70" t="n">
        <x:v>23.29</x:v>
      </x:c>
      <x:c r="G8" s="71"/>
      <x:c r="H8" s="71"/>
      <x:c r="I8" s="26" t="str">
        <x:v>Relative multiples / business quality</x:v>
      </x:c>
      <x:c r="J8" s="26" t="str">
        <x:v>Expensive</x:v>
      </x:c>
      <x:c r="K8" s="26" t="str">
        <x:v>2026-10-07</x:v>
      </x:c>
      <x:c r="L8" s="26" t="str">
        <x:v>https://www.set.or.th/en/market/product/stock/quote/AOT/factsheet</x:v>
      </x:c>
      <x:c r="M8" s="26" t="str">
        <x:v>The market pays a substantial premium for monopoly quality. Upside requires sustained passenger and commercial growth.</x:v>
      </x:c>
    </x:row>
    <x:row r="9">
      <x:c r="A9" s="26" t="str">
        <x:v>KTB</x:v>
      </x:c>
      <x:c r="B9" s="28" t="n">
        <x:v>42</x:v>
      </x:c>
      <x:c r="C9" s="28" t="n">
        <x:v>586994.57</x:v>
      </x:c>
      <x:c r="D9" s="70" t="n">
        <x:v>11.76</x:v>
      </x:c>
      <x:c r="E9" s="70" t="n">
        <x:v>1.3</x:v>
      </x:c>
      <x:c r="F9" s="70"/>
      <x:c r="G9" s="71"/>
      <x:c r="H9" s="71"/>
      <x:c r="I9" s="26" t="str">
        <x:v>P/E / P/BV / ROE / capital quality</x:v>
      </x:c>
      <x:c r="J9" s="26" t="str">
        <x:v>Fair Value</x:v>
      </x:c>
      <x:c r="K9" s="26" t="str">
        <x:v>2026-10-07</x:v>
      </x:c>
      <x:c r="L9" s="26" t="str">
        <x:v>https://www.set.or.th/en/market/product/stock/quote/KTB/factsheet</x:v>
      </x:c>
      <x:c r="M9" s="26" t="str">
        <x:v>Strong profitability and asset-quality improvement support re-rating, but P/BV already reflects a meaningful premium versus its own history; future return depends more on earnings/dividend than multiple expansion.</x:v>
      </x:c>
      <x:c r="N9" s="26"/>
    </x:row>
    <x:row r="10">
      <x:c r="A10" s="26" t="str">
        <x:v>PTTEP</x:v>
      </x:c>
      <x:c r="B10" s="28" t="n">
        <x:v>147</x:v>
      </x:c>
      <x:c r="C10" s="28" t="n">
        <x:v>583587.85</x:v>
      </x:c>
      <x:c r="D10" s="70" t="n">
        <x:v>8.43</x:v>
      </x:c>
      <x:c r="E10" s="70" t="n">
        <x:v>1.03</x:v>
      </x:c>
      <x:c r="F10" s="70" t="n">
        <x:v>2.83</x:v>
      </x:c>
      <x:c r="G10" s="71"/>
      <x:c r="H10" s="71"/>
      <x:c r="I10" s="26" t="str">
        <x:v>P/E / EV-EBITDA / oil-price normalized earnings</x:v>
      </x:c>
      <x:c r="J10" s="26" t="str">
        <x:v>Fair Value</x:v>
      </x:c>
      <x:c r="K10" s="26" t="str">
        <x:v>2026-10-07</x:v>
      </x:c>
      <x:c r="L10" s="26" t="str">
        <x:v>https://www.set.or.th/en/market/product/stock/quote/PTTEP/factsheet</x:v>
      </x:c>
      <x:c r="M10" s="26" t="str">
        <x:v>Headline multiples are low, but current oil prices are elevated. Use normalized commodity assumptions; upside is strongest if production growth persists after oil normalizes.</x:v>
      </x:c>
      <x:c r="N10" s="26"/>
    </x:row>
    <x:row r="11">
      <x:c r="A11" s="26" t="str">
        <x:v>KBANK</x:v>
      </x:c>
      <x:c r="B11" s="28" t="n">
        <x:v>235</x:v>
      </x:c>
      <x:c r="C11" s="28" t="n">
        <x:v>556791.98</x:v>
      </x:c>
      <x:c r="D11" s="70" t="n">
        <x:v>10.79</x:v>
      </x:c>
      <x:c r="E11" s="70" t="n">
        <x:v>0.96</x:v>
      </x:c>
      <x:c r="F11" s="70"/>
      <x:c r="G11" s="71"/>
      <x:c r="H11" s="71"/>
      <x:c r="I11" s="26" t="str">
        <x:v>P/E / P/BV / sustainable ROE</x:v>
      </x:c>
      <x:c r="J11" s="26" t="str">
        <x:v>Fair Value</x:v>
      </x:c>
      <x:c r="K11" s="26" t="str">
        <x:v>2026-10-07</x:v>
      </x:c>
      <x:c r="L11" s="26" t="str">
        <x:v>https://www.set.or.th/th/market/product/stock/quote/KBANK%20/factsheet</x:v>
      </x:c>
      <x:c r="M11" s="26" t="str">
        <x:v>Around book value with high capital and improving operating efficiency; valuation is reasonable but NIM compression caps near-term re-rating unless ROE rises structurally.</x:v>
      </x:c>
      <x:c r="N11" s="26"/>
    </x:row>
    <x:row r="12">
      <x:c r="A12" s="26" t="str">
        <x:v>SCB</x:v>
      </x:c>
      <x:c r="B12" s="28" t="n">
        <x:v>146</x:v>
      </x:c>
      <x:c r="C12" s="28" t="n">
        <x:v>491597.66</x:v>
      </x:c>
      <x:c r="D12" s="70" t="n">
        <x:v>11.3</x:v>
      </x:c>
      <x:c r="E12" s="70" t="n">
        <x:v>1.02</x:v>
      </x:c>
      <x:c r="F12" s="70"/>
      <x:c r="G12" s="71"/>
      <x:c r="H12" s="71"/>
      <x:c r="I12" s="26" t="str">
        <x:v>P/E / P/BV / dividend / SOTP optionality</x:v>
      </x:c>
      <x:c r="J12" s="26" t="str">
        <x:v>Fair Value</x:v>
      </x:c>
      <x:c r="K12" s="26" t="str">
        <x:v>2026-10-07</x:v>
      </x:c>
      <x:c r="L12" s="26" t="str">
        <x:v>https://www.set.or.th/en/market/product/stock/quote/SCB/factsheet/</x:v>
      </x:c>
      <x:c r="M12" s="26" t="str">
        <x:v>Valuation around book value prices in resilient bank cash flow but only limited value for digital optionality; sustained fee growth and Gen2/Gen3 profitability are needed for re-rating.</x:v>
      </x:c>
      <x:c r="N12" s="26"/>
    </x:row>
    <x:row r="13">
      <x:c r="A13" s="26" t="str">
        <x:v>TRUE</x:v>
      </x:c>
      <x:c r="B13" s="28" t="n">
        <x:v>12.7</x:v>
      </x:c>
      <x:c r="C13" s="28" t="n">
        <x:v>438811.68</x:v>
      </x:c>
      <x:c r="D13" s="70" t="n">
        <x:v>23.44</x:v>
      </x:c>
      <x:c r="E13" s="70" t="n">
        <x:v>5.53</x:v>
      </x:c>
      <x:c r="F13" s="70" t="n">
        <x:v>7.8</x:v>
      </x:c>
      <x:c r="G13" s="71"/>
      <x:c r="H13" s="71"/>
      <x:c r="I13" s="26" t="str">
        <x:v>EV/EBITDA / FCF / synergy delivery</x:v>
      </x:c>
      <x:c r="J13" s="26" t="str">
        <x:v>Fair Value</x:v>
      </x:c>
      <x:c r="K13" s="26" t="str">
        <x:v>2026-10-07</x:v>
      </x:c>
      <x:c r="L13" s="26" t="str">
        <x:v>https://www.set.or.th/en/market/product/stock/quote/TRUE/factsheet</x:v>
      </x:c>
      <x:c r="M13" s="26" t="str">
        <x:v>P/E and P/BV look rich, while EV/EBITDA is more relevant. Current valuation assumes continued synergy, margin expansion and deleveraging; multiple upside is limited without further earnings upgrades.</x:v>
      </x:c>
      <x:c r="N13" s="26"/>
    </x:row>
    <x:row r="14">
      <x:c r="A14" s="26" t="str">
        <x:v>CPALL</x:v>
      </x:c>
      <x:c r="B14" s="28" t="n">
        <x:v>42.5</x:v>
      </x:c>
      <x:c r="C14" s="28" t="n">
        <x:v>381781.81</x:v>
      </x:c>
      <x:c r="D14" s="70" t="n">
        <x:v>12.42</x:v>
      </x:c>
      <x:c r="E14" s="70" t="n">
        <x:v>2.68</x:v>
      </x:c>
      <x:c r="F14" s="70" t="n">
        <x:v>10.43</x:v>
      </x:c>
      <x:c r="G14" s="71"/>
      <x:c r="H14" s="71"/>
      <x:c r="I14" s="26" t="str">
        <x:v>P/E / EV-EBITDA / FCF / leverage</x:v>
      </x:c>
      <x:c r="J14" s="26" t="str">
        <x:v>Cheap</x:v>
      </x:c>
      <x:c r="K14" s="26" t="str">
        <x:v>2026-10-07</x:v>
      </x:c>
      <x:c r="L14" s="26" t="str">
        <x:v>https://www.set.or.th/en/market/product/stock/quote/CPALL/factsheet</x:v>
      </x:c>
      <x:c r="M14" s="26" t="str">
        <x:v>Current multiple is materially below its historical growth-premium zone; upside depends on same-store sales, margin discipline and continued deleveraging rather than multiple expansion alone.</x:v>
      </x:c>
      <x:c r="N14" s="26"/>
    </x:row>
    <x:row r="15">
      <x:c r="A15" s="26" t="str">
        <x:v>BBL</x:v>
      </x:c>
      <x:c r="B15" s="28" t="n">
        <x:v>183</x:v>
      </x:c>
      <x:c r="C15" s="28" t="n">
        <x:v>349318.25</x:v>
      </x:c>
      <x:c r="D15" s="70" t="n">
        <x:v>8.31</x:v>
      </x:c>
      <x:c r="E15" s="70" t="n">
        <x:v>0.6</x:v>
      </x:c>
      <x:c r="F15" s="70"/>
      <x:c r="G15" s="71"/>
      <x:c r="H15" s="71"/>
      <x:c r="I15" s="26" t="str">
        <x:v>P/E / P/BV / sustainable ROE / capital strength</x:v>
      </x:c>
      <x:c r="J15" s="26" t="str">
        <x:v>Cheap</x:v>
      </x:c>
      <x:c r="K15" s="26" t="str">
        <x:v>2026-10-07</x:v>
      </x:c>
      <x:c r="L15" s="26" t="str">
        <x:v>https://www.set.or.th/en/market/product/stock/quote/BBL/factsheet</x:v>
      </x:c>
      <x:c r="M15" s="26" t="str">
        <x:v>0.6x P/BV provides a wide asset-value discount, but low rates and slower earnings justify part of the discount. Return should come from earnings/dividend plus limited re-rating if ROE holds.</x:v>
      </x:c>
      <x:c r="N15" s="26"/>
    </x:row>
    <x:row r="16">
      <x:c r="A16" s="26" t="str">
        <x:v>SCC</x:v>
      </x:c>
      <x:c r="B16" s="28" t="n">
        <x:v>265</x:v>
      </x:c>
      <x:c r="C16" s="28" t="n">
        <x:v>318000</x:v>
      </x:c>
      <x:c r="D16" s="70" t="n">
        <x:v>23.74</x:v>
      </x:c>
      <x:c r="E16" s="70" t="n">
        <x:v>0.88</x:v>
      </x:c>
      <x:c r="F16" s="70" t="n">
        <x:v>10.69</x:v>
      </x:c>
      <x:c r="G16" s="71"/>
      <x:c r="H16" s="71"/>
      <x:c r="I16" s="26" t="str">
        <x:v>SOTP / normalized earnings / EV-EBITDA</x:v>
      </x:c>
      <x:c r="J16" s="26" t="str">
        <x:v>Fair Value</x:v>
      </x:c>
      <x:c r="K16" s="26" t="str">
        <x:v>2026-10-07</x:v>
      </x:c>
      <x:c r="L16" s="26" t="str">
        <x:v>https://www.set.or.th/en/market/product/stock/quote/SCC/factsheet</x:v>
      </x:c>
      <x:c r="M16" s="26" t="str">
        <x:v>Headline P/E is distorted by cyclical/transaction effects. P/BV below 1x supports asset-value case, but high leverage and petrochemical recovery uncertainty cap re-rating.</x:v>
      </x:c>
      <x:c r="N16" s="26"/>
    </x:row>
    <x:row r="17">
      <x:c r="A17" s="26" t="str">
        <x:v>BDMS</x:v>
      </x:c>
      <x:c r="B17" s="28" t="n">
        <x:v>19</x:v>
      </x:c>
      <x:c r="C17" s="28" t="n">
        <x:v>301948.04</x:v>
      </x:c>
      <x:c r="D17" s="70" t="n">
        <x:v>19.71</x:v>
      </x:c>
      <x:c r="E17" s="70" t="n">
        <x:v>2.93</x:v>
      </x:c>
      <x:c r="F17" s="70" t="n">
        <x:v>12.19</x:v>
      </x:c>
      <x:c r="G17" s="71"/>
      <x:c r="H17" s="71"/>
      <x:c r="I17" s="26" t="str">
        <x:v>P/E / EV-EBITDA / ROIC / growth quality</x:v>
      </x:c>
      <x:c r="J17" s="26" t="str">
        <x:v>Fair Value</x:v>
      </x:c>
      <x:c r="K17" s="26" t="str">
        <x:v>2026-10-07</x:v>
      </x:c>
      <x:c r="L17" s="26" t="str">
        <x:v>https://www.set.or.th/en/market/product/stock/quote/BDMS/factsheet</x:v>
      </x:c>
      <x:c r="M17" s="26" t="str">
        <x:v>Premium quality remains justified by network moat and balance sheet, but near-term earnings softness means re-rating needs renewed patient-volume and margin growth.</x:v>
      </x:c>
      <x:c r="N17" s="26"/>
    </x:row>
    <x:row r="18">
      <x:c r="A18" s="26" t="str">
        <x:v>TTB</x:v>
      </x:c>
      <x:c r="B18" s="28" t="n">
        <x:v>2.94</x:v>
      </x:c>
      <x:c r="C18" s="28" t="n">
        <x:v>286859.74</x:v>
      </x:c>
      <x:c r="D18" s="70" t="n">
        <x:v>12.13</x:v>
      </x:c>
      <x:c r="E18" s="70" t="n">
        <x:v>1.1</x:v>
      </x:c>
      <x:c r="F18" s="70"/>
      <x:c r="G18" s="71"/>
      <x:c r="H18" s="71"/>
      <x:c r="I18" s="26" t="str">
        <x:v>P/E / P/BV / ROE / capital return</x:v>
      </x:c>
      <x:c r="J18" s="26" t="str">
        <x:v>Fair Value</x:v>
      </x:c>
      <x:c r="K18" s="26" t="str">
        <x:v>2026-10-07</x:v>
      </x:c>
      <x:c r="L18" s="26" t="str">
        <x:v>https://www.set.or.th/en/market/product/stock/quote/TTB/factsheet</x:v>
      </x:c>
      <x:c r="M18" s="26" t="str">
        <x:v>Valuation is no longer distressed after strong re-rating. Return now relies more on earnings, dividend/buyback and sustainable ROE than on further P/BV expansion.</x:v>
      </x:c>
      <x:c r="N18" s="26"/>
    </x:row>
    <x:row r="19">
      <x:c r="A19" s="26" t="str">
        <x:v>CPN</x:v>
      </x:c>
      <x:c r="B19" s="28" t="n">
        <x:v>62.75</x:v>
      </x:c>
      <x:c r="C19" s="28" t="n">
        <x:v>281622</x:v>
      </x:c>
      <x:c r="D19" s="70" t="n">
        <x:v>14.06</x:v>
      </x:c>
      <x:c r="E19" s="70" t="n">
        <x:v>2.59</x:v>
      </x:c>
      <x:c r="F19" s="70" t="n">
        <x:v>10.7</x:v>
      </x:c>
      <x:c r="G19" s="71"/>
      <x:c r="H19" s="71"/>
      <x:c r="I19" s="26" t="str">
        <x:v>P/E / EV-EBITDA / NAV / recurring income</x:v>
      </x:c>
      <x:c r="J19" s="26" t="str">
        <x:v>Fair Value</x:v>
      </x:c>
      <x:c r="K19" s="26" t="str">
        <x:v>2026-10-07</x:v>
      </x:c>
      <x:c r="L19" s="26" t="str">
        <x:v>https://www.set.or.th/en/market/product/stock/quote/CPN/factsheet</x:v>
      </x:c>
      <x:c r="M19" s="26" t="str">
        <x:v>Recurring rental growth and high-quality malls justify a premium to commodity property developers; current valuation looks balanced against capex and execution risk.</x:v>
      </x:c>
      <x:c r="N19" s="26"/>
    </x:row>
    <x:row r="20">
      <x:c r="A20" s="26" t="str">
        <x:v>PTTGC</x:v>
      </x:c>
      <x:c r="B20" s="28" t="n">
        <x:v>53</x:v>
      </x:c>
      <x:c r="C20" s="28" t="n">
        <x:v>238969</x:v>
      </x:c>
      <x:c r="D20" s="70" t="n">
        <x:v>34.03</x:v>
      </x:c>
      <x:c r="E20" s="70" t="n">
        <x:v>0.77</x:v>
      </x:c>
      <x:c r="F20" s="70" t="n">
        <x:v>8.92</x:v>
      </x:c>
      <x:c r="G20" s="71"/>
      <x:c r="H20" s="71"/>
      <x:c r="I20" s="26" t="str">
        <x:v>P/BV / EV-EBITDA / normalized cycle / SOTP</x:v>
      </x:c>
      <x:c r="J20" s="26" t="str">
        <x:v>Fair Value</x:v>
      </x:c>
      <x:c r="K20" s="26" t="str">
        <x:v>2026-10-08</x:v>
      </x:c>
      <x:c r="L20" s="26" t="str">
        <x:v>https://www.set.or.th/en/market/product/stock/quote/PTTGC/factsheet</x:v>
      </x:c>
      <x:c r="M20" s="26" t="str">
        <x:v>Q2 profit rebound and asset-value support are positive, but current P/E is inflated by depressed trailing earnings. Re-rating depends on sustainable spreads, JV restructuring and debt reduction.</x:v>
      </x:c>
      <x:c r="N20" s="26"/>
    </x:row>
    <x:row r="21">
      <x:c r="A21" s="26" t="str">
        <x:v>CRC</x:v>
      </x:c>
      <x:c r="B21" s="28" t="n">
        <x:v>31.5</x:v>
      </x:c>
      <x:c r="C21" s="28" t="n">
        <x:v>189976.5</x:v>
      </x:c>
      <x:c r="D21" s="70" t="n">
        <x:v>21.68</x:v>
      </x:c>
      <x:c r="E21" s="70" t="n">
        <x:v>2.86</x:v>
      </x:c>
      <x:c r="F21" s="70" t="n">
        <x:v>9.03</x:v>
      </x:c>
      <x:c r="G21" s="71"/>
      <x:c r="H21" s="71"/>
      <x:c r="I21" s="26" t="str">
        <x:v>P/E / EV-EBITDA / ROIC / regional growth</x:v>
      </x:c>
      <x:c r="J21" s="26" t="str">
        <x:v>Fair Value</x:v>
      </x:c>
      <x:c r="K21" s="26" t="str">
        <x:v>2026-10-08</x:v>
      </x:c>
      <x:c r="L21" s="26" t="str">
        <x:v>https://www.set.or.th/en/market/product/stock/quote/CRC/factsheet</x:v>
      </x:c>
      <x:c r="M21" s="26" t="str">
        <x:v>Valuation prices in earnings recovery and Central ecosystem quality; upside needs sustained margin/ROIC improvement.</x:v>
      </x:c>
      <x:c r="N21" s="26"/>
    </x:row>
    <x:row r="22">
      <x:c r="A22" s="26" t="str">
        <x:v>CPF</x:v>
      </x:c>
      <x:c r="B22" s="28" t="n">
        <x:v>21.2</x:v>
      </x:c>
      <x:c r="C22" s="28" t="n">
        <x:v>174752.89</x:v>
      </x:c>
      <x:c r="D22" s="70" t="n">
        <x:v>8.04</x:v>
      </x:c>
      <x:c r="E22" s="70" t="n">
        <x:v>0.7</x:v>
      </x:c>
      <x:c r="F22" s="70" t="n">
        <x:v>8.07</x:v>
      </x:c>
      <x:c r="G22" s="71"/>
      <x:c r="H22" s="71"/>
      <x:c r="I22" s="26" t="str">
        <x:v>P/E / P/BV / normalized margin / cycle</x:v>
      </x:c>
      <x:c r="J22" s="26" t="str">
        <x:v>Cheap</x:v>
      </x:c>
      <x:c r="K22" s="26" t="str">
        <x:v>2026-10-08</x:v>
      </x:c>
      <x:c r="L22" s="26" t="str">
        <x:v>https://www.set.or.th/en/market/product/stock/quote/CPF/factsheet</x:v>
      </x:c>
      <x:c r="M22" s="26" t="str">
        <x:v>Headline valuation is low, but normalized animal-price/feed-cost margins matter more than current P/E alone.</x:v>
      </x:c>
      <x:c r="N22" s="26"/>
    </x:row>
    <x:row r="23">
      <x:c r="A23" s="26" t="str">
        <x:v>TOP</x:v>
      </x:c>
      <x:c r="B23" s="28" t="n">
        <x:v>76.25</x:v>
      </x:c>
      <x:c r="C23" s="28" t="n">
        <x:v>170329.96</x:v>
      </x:c>
      <x:c r="D23" s="70"/>
      <x:c r="E23" s="70"/>
      <x:c r="F23" s="70" t="n">
        <x:v>5.37</x:v>
      </x:c>
      <x:c r="G23" s="71"/>
      <x:c r="H23" s="71"/>
      <x:c r="I23" s="26" t="str">
        <x:v>EV/EBITDA / normalized GRM / project-adjusted FCF</x:v>
      </x:c>
      <x:c r="J23" s="26" t="str">
        <x:v>Fair Value</x:v>
      </x:c>
      <x:c r="K23" s="26" t="str">
        <x:v>2026-10-08</x:v>
      </x:c>
      <x:c r="L23" s="26" t="str">
        <x:v>https://www.set.or.th/en/market/product/stock/quote/TOP/factsheet</x:v>
      </x:c>
      <x:c r="M23" s="26" t="str">
        <x:v>Low EV/EBITDA reflects refining cyclicality and CFP execution/leverage risk. Re-rating requires credible completion economics and debt reduction.</x:v>
      </x:c>
      <x:c r="N23" s="26"/>
    </x:row>
    <x:row r="24">
      <x:c r="A24" s="26" t="str">
        <x:v>IVL</x:v>
      </x:c>
      <x:c r="B24" s="28" t="n">
        <x:v>28.25</x:v>
      </x:c>
      <x:c r="C24" s="28" t="n">
        <x:v>158611.09</x:v>
      </x:c>
      <x:c r="D24" s="70"/>
      <x:c r="E24" s="70" t="n">
        <x:v>1.2</x:v>
      </x:c>
      <x:c r="F24" s="70" t="n">
        <x:v>9.96</x:v>
      </x:c>
      <x:c r="G24" s="71"/>
      <x:c r="H24" s="71"/>
      <x:c r="I24" s="26" t="str">
        <x:v>EV/EBITDA / normalized EBITDA / deleveraging</x:v>
      </x:c>
      <x:c r="J24" s="26" t="str">
        <x:v>Fair Value</x:v>
      </x:c>
      <x:c r="K24" s="26" t="str">
        <x:v>2026-10-08</x:v>
      </x:c>
      <x:c r="L24" s="26" t="str">
        <x:v>https://www.set.or.th/en/market/product/stock/quote/IVL/factsheet</x:v>
      </x:c>
      <x:c r="M24" s="26" t="str">
        <x:v>P/E is not meaningful on trailing losses. Valuation requires recovery discount until restructuring converts to FCF and lower leverage.</x:v>
      </x:c>
      <x:c r="N24" s="26"/>
    </x:row>
    <x:row r="25">
      <x:c r="A25" s="26" t="str">
        <x:v>THAI</x:v>
      </x:c>
      <x:c r="B25" s="28" t="n">
        <x:v>5.55</x:v>
      </x:c>
      <x:c r="C25" s="28" t="n">
        <x:v>157083.27</x:v>
      </x:c>
      <x:c r="D25" s="70" t="n">
        <x:v>7.63</x:v>
      </x:c>
      <x:c r="E25" s="70" t="n">
        <x:v>1.92</x:v>
      </x:c>
      <x:c r="F25" s="70" t="n">
        <x:v>4.49</x:v>
      </x:c>
      <x:c r="G25" s="71"/>
      <x:c r="H25" s="71"/>
      <x:c r="I25" s="26" t="str">
        <x:v>P/E / EV-EBITDA / normalized EBITDAR / leverage</x:v>
      </x:c>
      <x:c r="J25" s="26" t="str">
        <x:v>Fair Value</x:v>
      </x:c>
      <x:c r="K25" s="26" t="str">
        <x:v>2026-10-08</x:v>
      </x:c>
      <x:c r="L25" s="26" t="str">
        <x:v>https://www.set.or.th/en/market/product/stock/quote/THAI/factsheet</x:v>
      </x:c>
      <x:c r="M25" s="26" t="str">
        <x:v>Low headline multiples reflect post-rehab recovery but also fuel, fleet, geopolitical and execution risk. Sustainable FCF through a normal fuel cycle is the key valuation test.</x:v>
      </x:c>
      <x:c r="N25" s="26"/>
    </x:row>
    <x:row r="26">
      <x:c r="A26" s="26" t="str">
        <x:v>BH</x:v>
      </x:c>
      <x:c r="B26" s="28" t="n">
        <x:v>188.5</x:v>
      </x:c>
      <x:c r="C26" s="28" t="n">
        <x:v>149851.2</x:v>
      </x:c>
      <x:c r="D26" s="70" t="n">
        <x:v>19.74</x:v>
      </x:c>
      <x:c r="E26" s="70" t="n">
        <x:v>5.48</x:v>
      </x:c>
      <x:c r="F26" s="70" t="n">
        <x:v>13.88</x:v>
      </x:c>
      <x:c r="G26" s="71"/>
      <x:c r="H26" s="71"/>
      <x:c r="I26" s="26" t="str">
        <x:v>P/E / EV-EBITDA / ROIC / net cash</x:v>
      </x:c>
      <x:c r="J26" s="26" t="str">
        <x:v>Fair Value</x:v>
      </x:c>
      <x:c r="K26" s="26" t="str">
        <x:v>2026-10-08</x:v>
      </x:c>
      <x:c r="L26" s="26" t="str">
        <x:v>https://www.set.or.th/en/market/product/stock/quote/BH/factsheet</x:v>
      </x:c>
      <x:c r="M26" s="26" t="str">
        <x:v>Premium multiples are supported by exceptional margins, net cash and medical-tourism brand; upside requires continued patient-mix growth rather than multiple expansion.</x:v>
      </x:c>
      <x:c r="N26" s="26"/>
    </x:row>
    <x:row r="27">
      <x:c r="A27" s="26" t="str">
        <x:v>CPAXT</x:v>
      </x:c>
      <x:c r="B27" s="28" t="n">
        <x:v>14.1</x:v>
      </x:c>
      <x:c r="C27" s="28" t="n">
        <x:v>147030.03</x:v>
      </x:c>
      <x:c r="D27" s="70" t="n">
        <x:v>16.17</x:v>
      </x:c>
      <x:c r="E27" s="70" t="n">
        <x:v>0.49</x:v>
      </x:c>
      <x:c r="F27" s="70" t="n">
        <x:v>9.29</x:v>
      </x:c>
      <x:c r="G27" s="71"/>
      <x:c r="H27" s="71"/>
      <x:c r="I27" s="26" t="str">
        <x:v>P/E / P/BV / EV-EBITDA / FCF / leverage</x:v>
      </x:c>
      <x:c r="J27" s="26" t="str">
        <x:v>Fair Value</x:v>
      </x:c>
      <x:c r="K27" s="26" t="str">
        <x:v>2026-10-09</x:v>
      </x:c>
      <x:c r="L27" s="26" t="str">
        <x:v>https://www.set.or.th/en/market/product/stock/quote/CPAXT/factsheet</x:v>
      </x:c>
      <x:c r="M27" s="26" t="str">
        <x:v>Low P/BV is distorted by merger accounting; EV/EBITDA and FCF are more useful. Fair value depends on synergy, margin recovery and deleveraging.</x:v>
      </x:c>
      <x:c r="N27" s="26"/>
    </x:row>
    <x:row r="28">
      <x:c r="A28" s="26" t="str">
        <x:v>OR</x:v>
      </x:c>
      <x:c r="B28" s="28" t="n">
        <x:v>12</x:v>
      </x:c>
      <x:c r="C28" s="28" t="n">
        <x:v>144000</x:v>
      </x:c>
      <x:c r="D28" s="70" t="n">
        <x:v>27.01</x:v>
      </x:c>
      <x:c r="E28" s="70" t="n">
        <x:v>1.31</x:v>
      </x:c>
      <x:c r="F28" s="70" t="n">
        <x:v>10.08</x:v>
      </x:c>
      <x:c r="G28" s="71"/>
      <x:c r="H28" s="71"/>
      <x:c r="I28" s="26" t="str">
        <x:v>EV/EBITDA / normalized retail margin / FCF</x:v>
      </x:c>
      <x:c r="J28" s="26" t="str">
        <x:v>Expensive</x:v>
      </x:c>
      <x:c r="K28" s="26" t="str">
        <x:v>2026-10-09</x:v>
      </x:c>
      <x:c r="L28" s="26" t="str">
        <x:v>https://www.set.or.th/en/market/product/stock/quote/OR/factsheet</x:v>
      </x:c>
      <x:c r="M28" s="26" t="str">
        <x:v>Demanding given weak 1H26 earnings; needs recovery in fuel margin and non-oil earnings.</x:v>
      </x:c>
      <x:c r="N28" s="26"/>
    </x:row>
    <x:row r="29">
      <x:c r="A29" s="26" t="str">
        <x:v>GPSC</x:v>
      </x:c>
      <x:c r="B29" s="28" t="n">
        <x:v>50.75</x:v>
      </x:c>
      <x:c r="C29" s="28" t="n">
        <x:v>143101.27</x:v>
      </x:c>
      <x:c r="D29" s="70" t="n">
        <x:v>21.11</x:v>
      </x:c>
      <x:c r="E29" s="70" t="n">
        <x:v>1.36</x:v>
      </x:c>
      <x:c r="F29" s="70" t="n">
        <x:v>11.03</x:v>
      </x:c>
      <x:c r="G29" s="71"/>
      <x:c r="H29" s="71"/>
      <x:c r="I29" s="26" t="str">
        <x:v>EV/EBITDA / P/BV / DCF / ROIC</x:v>
      </x:c>
      <x:c r="J29" s="26" t="str">
        <x:v>Fair Value</x:v>
      </x:c>
      <x:c r="K29" s="26" t="str">
        <x:v>2026-10-09</x:v>
      </x:c>
      <x:c r="L29" s="26" t="str">
        <x:v>https://www.set.or.th/en/market/product/stock/quote/GPSC/factsheet</x:v>
      </x:c>
      <x:c r="M29" s="26" t="str">
        <x:v>Fair if earnings recovery and deleveraging continue; high capital intensity limits re-rating without higher ROIC.</x:v>
      </x:c>
      <x:c r="N29" s="26"/>
    </x:row>
    <x:row r="30">
      <x:c r="A30" s="26" t="str">
        <x:v>SCGP</x:v>
      </x:c>
      <x:c r="B30" s="28" t="n">
        <x:v>30.25</x:v>
      </x:c>
      <x:c r="C30" s="28" t="n">
        <x:v>129860.84</x:v>
      </x:c>
      <x:c r="D30" s="70" t="n">
        <x:v>21.54</x:v>
      </x:c>
      <x:c r="E30" s="70" t="n">
        <x:v>1.67</x:v>
      </x:c>
      <x:c r="F30" s="70" t="n">
        <x:v>10.46</x:v>
      </x:c>
      <x:c r="G30" s="71"/>
      <x:c r="H30" s="71"/>
      <x:c r="I30" s="26" t="str">
        <x:v>P/E / EV-EBITDA / FCF / normalized margin</x:v>
      </x:c>
      <x:c r="J30" s="26" t="str">
        <x:v>Fair Value</x:v>
      </x:c>
      <x:c r="K30" s="26" t="str">
        <x:v>2026-10-09</x:v>
      </x:c>
      <x:c r="L30" s="26" t="str">
        <x:v>https://www.set.or.th/en/market/product/stock/quote/SCGP/factsheet</x:v>
      </x:c>
      <x:c r="M30" s="26" t="str">
        <x:v>Earnings recovery is strong, but valuation already discounts part of the ASEAN turnaround. Further upside needs sustained margin/FCF improvement.</x:v>
      </x:c>
      <x:c r="N30" s="26"/>
    </x:row>
    <x:row r="31">
      <x:c r="A31" s="26" t="str">
        <x:v>MINT</x:v>
      </x:c>
      <x:c r="B31" s="28" t="n">
        <x:v>20.4</x:v>
      </x:c>
      <x:c r="C31" s="28" t="n">
        <x:v>115667.53</x:v>
      </x:c>
      <x:c r="D31" s="70" t="n">
        <x:v>12.12</x:v>
      </x:c>
      <x:c r="E31" s="70" t="n">
        <x:v>1.39</x:v>
      </x:c>
      <x:c r="F31" s="70" t="n">
        <x:v>6.99</x:v>
      </x:c>
      <x:c r="G31" s="71"/>
      <x:c r="H31" s="71"/>
      <x:c r="I31" s="26" t="str">
        <x:v>P/E / EV-EBITDA / FCF / leverage</x:v>
      </x:c>
      <x:c r="J31" s="26" t="str">
        <x:v>Cheap</x:v>
      </x:c>
      <x:c r="K31" s="26" t="str">
        <x:v>2026-10-09</x:v>
      </x:c>
      <x:c r="L31" s="26" t="str">
        <x:v>https://www.set.or.th/en/market/product/stock/quote/MINT/factsheet</x:v>
      </x:c>
      <x:c r="M31" s="26" t="str">
        <x:v>Multiples are below tourism sector despite global scale and improving profit; leverage/FX explain much of the discount.</x:v>
      </x:c>
      <x:c r="N31" s="26"/>
    </x:row>
    <x:row r="32">
      <x:c r="A32" s="26" t="str">
        <x:v>TISCO</x:v>
      </x:c>
      <x:c r="B32" s="28" t="n">
        <x:v>123.5</x:v>
      </x:c>
      <x:c r="C32" s="28" t="n">
        <x:v>98879.73</x:v>
      </x:c>
      <x:c r="D32" s="70" t="n">
        <x:v>14.39</x:v>
      </x:c>
      <x:c r="E32" s="70" t="n">
        <x:v>2.33</x:v>
      </x:c>
      <x:c r="F32" s="70"/>
      <x:c r="G32" s="71"/>
      <x:c r="H32" s="71"/>
      <x:c r="I32" s="26" t="str">
        <x:v>P/E / P/BV / ROE / dividend / capital</x:v>
      </x:c>
      <x:c r="J32" s="26" t="str">
        <x:v>Expensive</x:v>
      </x:c>
      <x:c r="K32" s="26" t="str">
        <x:v>2026-10-09</x:v>
      </x:c>
      <x:c r="L32" s="26" t="str">
        <x:v>https://www.set.or.th/en/market/product/stock/quote/TISCO/factsheet</x:v>
      </x:c>
      <x:c r="M32" s="26" t="str">
        <x:v>Premium P/BV is supported by ROE/coverage/dividend, but margin of safety is thin if credit cost rises.</x:v>
      </x:c>
      <x:c r="N32" s="26"/>
    </x:row>
    <x:row r="33">
      <x:c r="A33" s="26" t="str">
        <x:v>AWC</x:v>
      </x:c>
      <x:c r="B33" s="28" t="n">
        <x:v>3.08</x:v>
      </x:c>
      <x:c r="C33" s="28" t="n">
        <x:v>98641.74</x:v>
      </x:c>
      <x:c r="D33" s="70" t="n">
        <x:v>15.25</x:v>
      </x:c>
      <x:c r="E33" s="70" t="n">
        <x:v>1.02</x:v>
      </x:c>
      <x:c r="F33" s="70" t="n">
        <x:v>15.5</x:v>
      </x:c>
      <x:c r="G33" s="71"/>
      <x:c r="H33" s="71"/>
      <x:c r="I33" s="26" t="str">
        <x:v>P/E / EV-EBITDA / NAV / asset ramp-up</x:v>
      </x:c>
      <x:c r="J33" s="26" t="str">
        <x:v>Fair Value</x:v>
      </x:c>
      <x:c r="K33" s="26" t="str">
        <x:v>2026-10-09</x:v>
      </x:c>
      <x:c r="L33" s="26" t="str">
        <x:v>https://www.set.or.th/en/market/product/stock/quote/AWC/factsheet</x:v>
      </x:c>
      <x:c r="M33" s="26" t="str">
        <x:v>Asset quality supports valuation, but EV/EBITDA remains high because many projects are still ramping. NAV-to-cash conversion is key.</x:v>
      </x:c>
      <x:c r="N33" s="26"/>
    </x:row>
    <x:row r="34">
      <x:c r="A34" s="26" t="str">
        <x:v>BEM</x:v>
      </x:c>
      <x:c r="B34" s="28" t="n">
        <x:v>6.4</x:v>
      </x:c>
      <x:c r="C34" s="28" t="n">
        <x:v>97824</x:v>
      </x:c>
      <x:c r="D34" s="70" t="n">
        <x:v>25.2</x:v>
      </x:c>
      <x:c r="E34" s="70" t="n">
        <x:v>2.58</x:v>
      </x:c>
      <x:c r="F34" s="70" t="n">
        <x:v>24.2</x:v>
      </x:c>
      <x:c r="G34" s="71"/>
      <x:c r="H34" s="71"/>
      <x:c r="I34" s="26" t="str">
        <x:v>P/E / EV-EBITDA / DCF / concession duration</x:v>
      </x:c>
      <x:c r="J34" s="26" t="str">
        <x:v>Expensive</x:v>
      </x:c>
      <x:c r="K34" s="26" t="str">
        <x:v>2026-10-09</x:v>
      </x:c>
      <x:c r="L34" s="26" t="str">
        <x:v>https://www.set.or.th/en/market/product/stock/quote/BEM/factsheet</x:v>
      </x:c>
      <x:c r="M34" s="26" t="str">
        <x:v>Long concessions deserve a premium, but current multiples require steady traffic/ridership growth and favorable concession economics.</x:v>
      </x:c>
      <x:c r="N34" s="26"/>
    </x:row>
    <x:row r="35">
      <x:c r="A35" s="26" t="str">
        <x:v>KCE</x:v>
      </x:c>
      <x:c r="B35" s="28" t="n">
        <x:v>78.75</x:v>
      </x:c>
      <x:c r="C35" s="28" t="n">
        <x:v>93089.48</x:v>
      </x:c>
      <x:c r="D35" s="70" t="n">
        <x:v>100</x:v>
      </x:c>
      <x:c r="E35" s="70" t="n">
        <x:v>7.18</x:v>
      </x:c>
      <x:c r="F35" s="70" t="n">
        <x:v>42.48</x:v>
      </x:c>
      <x:c r="G35" s="71"/>
      <x:c r="H35" s="71"/>
      <x:c r="I35" s="26" t="str">
        <x:v>P/E / EV-EBITDA / normalized earnings / cycle</x:v>
      </x:c>
      <x:c r="J35" s="26" t="str">
        <x:v>Very Expensive</x:v>
      </x:c>
      <x:c r="K35" s="26" t="str">
        <x:v>2026-10-09</x:v>
      </x:c>
      <x:c r="L35" s="26" t="str">
        <x:v>https://www.set.or.th/en/market/product/stock/quote/KCE/factsheet</x:v>
      </x:c>
      <x:c r="M35" s="26" t="str">
        <x:v>Earnings recovery is real, but valuation embeds very aggressive growth expectations. Multiple compression is the dominant stock risk.</x:v>
      </x:c>
      <x:c r="N35" s="26"/>
    </x:row>
    <x:row r="36">
      <x:c r="A36" s="26" t="str">
        <x:v>KTC</x:v>
      </x:c>
      <x:c r="B36" s="28" t="n">
        <x:v>35</x:v>
      </x:c>
      <x:c r="C36" s="28" t="n">
        <x:v>90241.69</x:v>
      </x:c>
      <x:c r="D36" s="70" t="n">
        <x:v>10.71</x:v>
      </x:c>
      <x:c r="E36" s="70" t="n">
        <x:v>2.05</x:v>
      </x:c>
      <x:c r="F36" s="70"/>
      <x:c r="G36" s="71"/>
      <x:c r="H36" s="71"/>
      <x:c r="I36" s="26" t="str">
        <x:v>P/E / P/BV / ROE / asset quality</x:v>
      </x:c>
      <x:c r="J36" s="26" t="str">
        <x:v>Fair Value</x:v>
      </x:c>
      <x:c r="K36" s="26" t="str">
        <x:v>2026-10-09</x:v>
      </x:c>
      <x:c r="L36" s="26" t="str">
        <x:v>https://www.set.or.th/en/market/product/stock/quote/KTC/factsheet</x:v>
      </x:c>
      <x:c r="M36" s="26" t="str">
        <x:v>Around 10.7x P/E is reasonable for ~20% ROE and very high coverage; re-rating requires faster portfolio growth without sacrificing credit quality.</x:v>
      </x:c>
      <x:c r="N36" s="26"/>
    </x:row>
    <x:row r="37">
      <x:c r="A37" s="26" t="str">
        <x:v>HMPRO</x:v>
      </x:c>
      <x:c r="B37" s="28" t="n">
        <x:v>6.4</x:v>
      </x:c>
      <x:c r="C37" s="28" t="n">
        <x:v>84167.67</x:v>
      </x:c>
      <x:c r="D37" s="70" t="n">
        <x:v>13.97</x:v>
      </x:c>
      <x:c r="E37" s="70" t="n">
        <x:v>3.19</x:v>
      </x:c>
      <x:c r="F37" s="70" t="n">
        <x:v>9.11</x:v>
      </x:c>
      <x:c r="G37" s="71"/>
      <x:c r="H37" s="71"/>
      <x:c r="I37" s="26" t="str">
        <x:v>P/E / EV-EBITDA / FCF / ROIC</x:v>
      </x:c>
      <x:c r="J37" s="26" t="str">
        <x:v>Fair Value</x:v>
      </x:c>
      <x:c r="K37" s="26" t="str">
        <x:v>2026-10-09</x:v>
      </x:c>
      <x:c r="L37" s="26" t="str">
        <x:v>https://www.set.or.th/en/market/product/stock/quote/HMPRO/factsheet</x:v>
      </x:c>
      <x:c r="M37" s="26" t="str">
        <x:v>Valuation is below historical premium levels, but weak domestic consumption limits near-term re-rating. Margin/store productivity are key.</x:v>
      </x:c>
      <x:c r="N37" s="26"/>
    </x:row>
    <x:row r="38">
      <x:c r="A38" s="26" t="str">
        <x:v>RATCH</x:v>
      </x:c>
      <x:c r="B38" s="28" t="n">
        <x:v>37.75</x:v>
      </x:c>
      <x:c r="C38" s="28" t="n">
        <x:v>82106.25</x:v>
      </x:c>
      <x:c r="D38" s="70" t="n">
        <x:v>14.74</x:v>
      </x:c>
      <x:c r="E38" s="70" t="n">
        <x:v>0.82</x:v>
      </x:c>
      <x:c r="F38" s="70" t="n">
        <x:v>12.9</x:v>
      </x:c>
      <x:c r="G38" s="71"/>
      <x:c r="H38" s="71"/>
      <x:c r="I38" s="26" t="str">
        <x:v>P/E / P/BV / dividend / DCF / asset value</x:v>
      </x:c>
      <x:c r="J38" s="26" t="str">
        <x:v>Cheap</x:v>
      </x:c>
      <x:c r="K38" s="26" t="str">
        <x:v>2026-10-09</x:v>
      </x:c>
      <x:c r="L38" s="26" t="str">
        <x:v>https://www.set.or.th/en/market/product/stock/quote/RATCH/factsheet</x:v>
      </x:c>
      <x:c r="M38" s="26" t="str">
        <x:v>Sub-book valuation and contracted assets provide support. Re-rating is limited by slower earnings growth, holding-company complexity and leverage.</x:v>
      </x:c>
      <x:c r="N38" s="26"/>
    </x:row>
    <x:row r="39">
      <x:c r="A39" s="23" t="str"/>
      <x:c r="B39" s="29" t="str"/>
      <x:c r="C39" s="29" t="str"/>
      <x:c r="D39" s="72" t="str"/>
      <x:c r="E39" s="72" t="str"/>
      <x:c r="F39" s="72" t="str"/>
      <x:c r="G39" s="60" t="str"/>
      <x:c r="H39" s="60" t="str"/>
      <x:c r="I39" s="23" t="str"/>
      <x:c r="J39" s="23" t="str"/>
      <x:c r="K39" s="23" t="str"/>
      <x:c r="L39" s="23" t="str"/>
      <x:c r="M39" s="23" t="str"/>
    </x:row>
    <x:row r="40">
      <x:c r="A40" s="23" t="str"/>
      <x:c r="B40" s="29" t="str"/>
      <x:c r="C40" s="29" t="str"/>
      <x:c r="D40" s="72" t="str"/>
      <x:c r="E40" s="72" t="str"/>
      <x:c r="F40" s="72" t="str"/>
      <x:c r="G40" s="60" t="str"/>
      <x:c r="H40" s="60" t="str"/>
      <x:c r="I40" s="23" t="str"/>
      <x:c r="J40" s="23" t="str"/>
      <x:c r="K40" s="23" t="str"/>
      <x:c r="L40" s="23" t="str"/>
      <x:c r="M40" s="23" t="str"/>
    </x:row>
    <x:row r="41">
      <x:c r="A41" s="23" t="str"/>
      <x:c r="B41" s="29" t="str"/>
      <x:c r="C41" s="29" t="str"/>
      <x:c r="D41" s="72" t="str"/>
      <x:c r="E41" s="72" t="str"/>
      <x:c r="F41" s="72" t="str"/>
      <x:c r="G41" s="60" t="str"/>
      <x:c r="H41" s="60" t="str"/>
      <x:c r="I41" s="23" t="str"/>
      <x:c r="J41" s="23" t="str"/>
      <x:c r="K41" s="23" t="str"/>
      <x:c r="L41" s="23" t="str"/>
      <x:c r="M41" s="23" t="str"/>
    </x:row>
    <x:row r="42">
      <x:c r="A42" s="23" t="str"/>
      <x:c r="B42" s="29" t="str"/>
      <x:c r="C42" s="29" t="str"/>
      <x:c r="D42" s="72" t="str"/>
      <x:c r="E42" s="72" t="str"/>
      <x:c r="F42" s="72" t="str"/>
      <x:c r="G42" s="60" t="str"/>
      <x:c r="H42" s="60" t="str"/>
      <x:c r="I42" s="23" t="str"/>
      <x:c r="J42" s="23" t="str"/>
      <x:c r="K42" s="23" t="str"/>
      <x:c r="L42" s="23" t="str"/>
      <x:c r="M42" s="23" t="str"/>
    </x:row>
    <x:row r="43">
      <x:c r="A43" s="23" t="str"/>
      <x:c r="B43" s="29" t="str"/>
      <x:c r="C43" s="29" t="str"/>
      <x:c r="D43" s="72" t="str"/>
      <x:c r="E43" s="72" t="str"/>
      <x:c r="F43" s="72" t="str"/>
      <x:c r="G43" s="60" t="str"/>
      <x:c r="H43" s="60" t="str"/>
      <x:c r="I43" s="23" t="str"/>
      <x:c r="J43" s="23" t="str"/>
      <x:c r="K43" s="23" t="str"/>
      <x:c r="L43" s="23" t="str"/>
      <x:c r="M43" s="23" t="str"/>
    </x:row>
    <x:row r="44">
      <x:c r="A44" s="23" t="str"/>
      <x:c r="B44" s="29" t="str"/>
      <x:c r="C44" s="29" t="str"/>
      <x:c r="D44" s="72" t="str"/>
      <x:c r="E44" s="72" t="str"/>
      <x:c r="F44" s="72" t="str"/>
      <x:c r="G44" s="60" t="str"/>
      <x:c r="H44" s="60" t="str"/>
      <x:c r="I44" s="23" t="str"/>
      <x:c r="J44" s="23" t="str"/>
      <x:c r="K44" s="23" t="str"/>
      <x:c r="L44" s="23" t="str"/>
      <x:c r="M44" s="23" t="str"/>
    </x:row>
    <x:row r="45">
      <x:c r="A45" s="23" t="str"/>
      <x:c r="B45" s="29" t="str"/>
      <x:c r="C45" s="29" t="str"/>
      <x:c r="D45" s="72" t="str"/>
      <x:c r="E45" s="72" t="str"/>
      <x:c r="F45" s="72" t="str"/>
      <x:c r="G45" s="60" t="str"/>
      <x:c r="H45" s="60" t="str"/>
      <x:c r="I45" s="23" t="str"/>
      <x:c r="J45" s="23" t="str"/>
      <x:c r="K45" s="23" t="str"/>
      <x:c r="L45" s="23" t="str"/>
      <x:c r="M45" s="23" t="str"/>
    </x:row>
    <x:row r="46">
      <x:c r="A46" s="23" t="str"/>
      <x:c r="B46" s="29" t="str"/>
      <x:c r="C46" s="29" t="str"/>
      <x:c r="D46" s="72" t="str"/>
      <x:c r="E46" s="72" t="str"/>
      <x:c r="F46" s="72" t="str"/>
      <x:c r="G46" s="60" t="str"/>
      <x:c r="H46" s="60" t="str"/>
      <x:c r="I46" s="23" t="str"/>
      <x:c r="J46" s="23" t="str"/>
      <x:c r="K46" s="23" t="str"/>
      <x:c r="L46" s="23" t="str"/>
      <x:c r="M46" s="23" t="str"/>
    </x:row>
    <x:row r="47">
      <x:c r="A47" s="23" t="str"/>
      <x:c r="B47" s="29" t="str"/>
      <x:c r="C47" s="29" t="str"/>
      <x:c r="D47" s="72" t="str"/>
      <x:c r="E47" s="72" t="str"/>
      <x:c r="F47" s="72" t="str"/>
      <x:c r="G47" s="60" t="str"/>
      <x:c r="H47" s="60" t="str"/>
      <x:c r="I47" s="23" t="str"/>
      <x:c r="J47" s="23" t="str"/>
      <x:c r="K47" s="23" t="str"/>
      <x:c r="L47" s="23" t="str"/>
      <x:c r="M47" s="23" t="str"/>
    </x:row>
    <x:row r="48">
      <x:c r="A48" s="23" t="str"/>
      <x:c r="B48" s="29" t="str"/>
      <x:c r="C48" s="29" t="str"/>
      <x:c r="D48" s="72" t="str"/>
      <x:c r="E48" s="72" t="str"/>
      <x:c r="F48" s="72" t="str"/>
      <x:c r="G48" s="60" t="str"/>
      <x:c r="H48" s="60" t="str"/>
      <x:c r="I48" s="23" t="str"/>
      <x:c r="J48" s="23" t="str"/>
      <x:c r="K48" s="23" t="str"/>
      <x:c r="L48" s="23" t="str"/>
      <x:c r="M48" s="23" t="str"/>
    </x:row>
    <x:row r="49">
      <x:c r="A49" s="23" t="str"/>
      <x:c r="B49" s="29" t="str"/>
      <x:c r="C49" s="29" t="str"/>
      <x:c r="D49" s="72" t="str"/>
      <x:c r="E49" s="72" t="str"/>
      <x:c r="F49" s="72" t="str"/>
      <x:c r="G49" s="60" t="str"/>
      <x:c r="H49" s="60" t="str"/>
      <x:c r="I49" s="23" t="str"/>
      <x:c r="J49" s="23" t="str"/>
      <x:c r="K49" s="23" t="str"/>
      <x:c r="L49" s="23" t="str"/>
      <x:c r="M49" s="23" t="str"/>
    </x:row>
    <x:row r="50">
      <x:c r="A50" s="23" t="str"/>
      <x:c r="B50" s="29" t="str"/>
      <x:c r="C50" s="29" t="str"/>
      <x:c r="D50" s="72" t="str"/>
      <x:c r="E50" s="72" t="str"/>
      <x:c r="F50" s="72" t="str"/>
      <x:c r="G50" s="60" t="str"/>
      <x:c r="H50" s="60" t="str"/>
      <x:c r="I50" s="23" t="str"/>
      <x:c r="J50" s="23" t="str"/>
      <x:c r="K50" s="23" t="str"/>
      <x:c r="L50" s="23" t="str"/>
      <x:c r="M50" s="23" t="str"/>
    </x:row>
    <x:row r="51">
      <x:c r="A51" s="23" t="str"/>
      <x:c r="B51" s="29" t="str"/>
      <x:c r="C51" s="29" t="str"/>
      <x:c r="D51" s="72" t="str"/>
      <x:c r="E51" s="72" t="str"/>
      <x:c r="F51" s="72" t="str"/>
      <x:c r="G51" s="60" t="str"/>
      <x:c r="H51" s="60" t="str"/>
      <x:c r="I51" s="23" t="str"/>
      <x:c r="J51" s="23" t="str"/>
      <x:c r="K51" s="23" t="str"/>
      <x:c r="L51" s="23" t="str"/>
      <x:c r="M51" s="23" t="str"/>
    </x:row>
    <x:row r="52">
      <x:c r="A52" s="23" t="str"/>
      <x:c r="B52" s="29" t="str"/>
      <x:c r="C52" s="29" t="str"/>
      <x:c r="D52" s="72" t="str"/>
      <x:c r="E52" s="72" t="str"/>
      <x:c r="F52" s="72" t="str"/>
      <x:c r="G52" s="60" t="str"/>
      <x:c r="H52" s="60" t="str"/>
      <x:c r="I52" s="23" t="str"/>
      <x:c r="J52" s="23" t="str"/>
      <x:c r="K52" s="23" t="str"/>
      <x:c r="L52" s="23" t="str"/>
      <x:c r="M52" s="23" t="str"/>
    </x:row>
    <x:row r="53">
      <x:c r="A53" s="23" t="str"/>
      <x:c r="B53" s="29" t="str"/>
      <x:c r="C53" s="29" t="str"/>
      <x:c r="D53" s="72" t="str"/>
      <x:c r="E53" s="72" t="str"/>
      <x:c r="F53" s="72" t="str"/>
      <x:c r="G53" s="60" t="str"/>
      <x:c r="H53" s="60" t="str"/>
      <x:c r="I53" s="23" t="str"/>
      <x:c r="J53" s="23" t="str"/>
      <x:c r="K53" s="23" t="str"/>
      <x:c r="L53" s="23" t="str"/>
      <x:c r="M53" s="23" t="str"/>
    </x:row>
    <x:row r="54">
      <x:c r="A54" s="23" t="str"/>
      <x:c r="B54" s="29" t="str"/>
      <x:c r="C54" s="29" t="str"/>
      <x:c r="D54" s="72" t="str"/>
      <x:c r="E54" s="72" t="str"/>
      <x:c r="F54" s="72" t="str"/>
      <x:c r="G54" s="60" t="str"/>
      <x:c r="H54" s="60" t="str"/>
      <x:c r="I54" s="23" t="str"/>
      <x:c r="J54" s="23" t="str"/>
      <x:c r="K54" s="23" t="str"/>
      <x:c r="L54" s="23" t="str"/>
      <x:c r="M54" s="23" t="str"/>
    </x:row>
    <x:row r="55">
      <x:c r="A55" s="23" t="str"/>
      <x:c r="B55" s="29" t="str"/>
      <x:c r="C55" s="29" t="str"/>
      <x:c r="D55" s="72" t="str"/>
      <x:c r="E55" s="72" t="str"/>
      <x:c r="F55" s="72" t="str"/>
      <x:c r="G55" s="60" t="str"/>
      <x:c r="H55" s="60" t="str"/>
      <x:c r="I55" s="23" t="str"/>
      <x:c r="J55" s="23" t="str"/>
      <x:c r="K55" s="23" t="str"/>
      <x:c r="L55" s="23" t="str"/>
      <x:c r="M55" s="23" t="str"/>
    </x:row>
    <x:row r="56">
      <x:c r="A56" s="23" t="str"/>
      <x:c r="B56" s="29" t="str"/>
      <x:c r="C56" s="29" t="str"/>
      <x:c r="D56" s="72" t="str"/>
      <x:c r="E56" s="72" t="str"/>
      <x:c r="F56" s="72" t="str"/>
      <x:c r="G56" s="60" t="str"/>
      <x:c r="H56" s="60" t="str"/>
      <x:c r="I56" s="23" t="str"/>
      <x:c r="J56" s="23" t="str"/>
      <x:c r="K56" s="23" t="str"/>
      <x:c r="L56" s="23" t="str"/>
      <x:c r="M56" s="23" t="str"/>
    </x:row>
    <x:row r="57">
      <x:c r="A57" s="23" t="str"/>
      <x:c r="B57" s="29" t="str"/>
      <x:c r="C57" s="29" t="str"/>
      <x:c r="D57" s="72" t="str"/>
      <x:c r="E57" s="72" t="str"/>
      <x:c r="F57" s="72" t="str"/>
      <x:c r="G57" s="60" t="str"/>
      <x:c r="H57" s="60" t="str"/>
      <x:c r="I57" s="23" t="str"/>
      <x:c r="J57" s="23" t="str"/>
      <x:c r="K57" s="23" t="str"/>
      <x:c r="L57" s="23" t="str"/>
      <x:c r="M57" s="23" t="str"/>
    </x:row>
    <x:row r="58">
      <x:c r="A58" s="23" t="str"/>
      <x:c r="B58" s="29" t="str"/>
      <x:c r="C58" s="29" t="str"/>
      <x:c r="D58" s="72" t="str"/>
      <x:c r="E58" s="72" t="str"/>
      <x:c r="F58" s="72" t="str"/>
      <x:c r="G58" s="60" t="str"/>
      <x:c r="H58" s="60" t="str"/>
      <x:c r="I58" s="23" t="str"/>
      <x:c r="J58" s="23" t="str"/>
      <x:c r="K58" s="23" t="str"/>
      <x:c r="L58" s="23" t="str"/>
      <x:c r="M58" s="23" t="str"/>
    </x:row>
    <x:row r="59">
      <x:c r="A59" s="23" t="str"/>
      <x:c r="B59" s="29" t="str"/>
      <x:c r="C59" s="29" t="str"/>
      <x:c r="D59" s="72" t="str"/>
      <x:c r="E59" s="72" t="str"/>
      <x:c r="F59" s="72" t="str"/>
      <x:c r="G59" s="60" t="str"/>
      <x:c r="H59" s="60" t="str"/>
      <x:c r="I59" s="23" t="str"/>
      <x:c r="J59" s="23" t="str"/>
      <x:c r="K59" s="23" t="str"/>
      <x:c r="L59" s="23" t="str"/>
      <x:c r="M59" s="23" t="str"/>
    </x:row>
    <x:row r="60">
      <x:c r="A60" s="23" t="str"/>
      <x:c r="B60" s="29" t="str"/>
      <x:c r="C60" s="29" t="str"/>
      <x:c r="D60" s="72" t="str"/>
      <x:c r="E60" s="72" t="str"/>
      <x:c r="F60" s="72" t="str"/>
      <x:c r="G60" s="60" t="str"/>
      <x:c r="H60" s="60" t="str"/>
      <x:c r="I60" s="23" t="str"/>
      <x:c r="J60" s="23" t="str"/>
      <x:c r="K60" s="23" t="str"/>
      <x:c r="L60" s="23" t="str"/>
      <x:c r="M60" s="23" t="str"/>
    </x:row>
    <x:row r="61">
      <x:c r="A61" s="23" t="str"/>
      <x:c r="B61" s="29" t="str"/>
      <x:c r="C61" s="29" t="str"/>
      <x:c r="D61" s="72" t="str"/>
      <x:c r="E61" s="72" t="str"/>
      <x:c r="F61" s="72" t="str"/>
      <x:c r="G61" s="60" t="str"/>
      <x:c r="H61" s="60" t="str"/>
      <x:c r="I61" s="23" t="str"/>
      <x:c r="J61" s="23" t="str"/>
      <x:c r="K61" s="23" t="str"/>
      <x:c r="L61" s="23" t="str"/>
      <x:c r="M61" s="23" t="str"/>
    </x:row>
    <x:row r="62">
      <x:c r="A62" s="23" t="str"/>
      <x:c r="B62" s="29" t="str"/>
      <x:c r="C62" s="29" t="str"/>
      <x:c r="D62" s="72" t="str"/>
      <x:c r="E62" s="72" t="str"/>
      <x:c r="F62" s="72" t="str"/>
      <x:c r="G62" s="60" t="str"/>
      <x:c r="H62" s="60" t="str"/>
      <x:c r="I62" s="23" t="str"/>
      <x:c r="J62" s="23" t="str"/>
      <x:c r="K62" s="23" t="str"/>
      <x:c r="L62" s="23" t="str"/>
      <x:c r="M62" s="23" t="str"/>
    </x:row>
    <x:row r="63">
      <x:c r="A63" s="23" t="str"/>
      <x:c r="B63" s="29" t="str"/>
      <x:c r="C63" s="29" t="str"/>
      <x:c r="D63" s="72" t="str"/>
      <x:c r="E63" s="72" t="str"/>
      <x:c r="F63" s="72" t="str"/>
      <x:c r="G63" s="60" t="str"/>
      <x:c r="H63" s="60" t="str"/>
      <x:c r="I63" s="23" t="str"/>
      <x:c r="J63" s="23" t="str"/>
      <x:c r="K63" s="23" t="str"/>
      <x:c r="L63" s="23" t="str"/>
      <x:c r="M63" s="23" t="str"/>
    </x:row>
    <x:row r="64">
      <x:c r="A64" s="23" t="str"/>
      <x:c r="B64" s="29" t="str"/>
      <x:c r="C64" s="29" t="str"/>
      <x:c r="D64" s="72" t="str"/>
      <x:c r="E64" s="72" t="str"/>
      <x:c r="F64" s="72" t="str"/>
      <x:c r="G64" s="60" t="str"/>
      <x:c r="H64" s="60" t="str"/>
      <x:c r="I64" s="23" t="str"/>
      <x:c r="J64" s="23" t="str"/>
      <x:c r="K64" s="23" t="str"/>
      <x:c r="L64" s="23" t="str"/>
      <x:c r="M64" s="23" t="str"/>
    </x:row>
    <x:row r="65">
      <x:c r="A65" s="23" t="str"/>
      <x:c r="B65" s="29" t="str"/>
      <x:c r="C65" s="29" t="str"/>
      <x:c r="D65" s="72" t="str"/>
      <x:c r="E65" s="72" t="str"/>
      <x:c r="F65" s="72" t="str"/>
      <x:c r="G65" s="60" t="str"/>
      <x:c r="H65" s="60" t="str"/>
      <x:c r="I65" s="23" t="str"/>
      <x:c r="J65" s="23" t="str"/>
      <x:c r="K65" s="23" t="str"/>
      <x:c r="L65" s="23" t="str"/>
      <x:c r="M65" s="23" t="str"/>
    </x:row>
    <x:row r="66">
      <x:c r="A66" s="23" t="str"/>
      <x:c r="B66" s="29" t="str"/>
      <x:c r="C66" s="29" t="str"/>
      <x:c r="D66" s="72" t="str"/>
      <x:c r="E66" s="72" t="str"/>
      <x:c r="F66" s="72" t="str"/>
      <x:c r="G66" s="60" t="str"/>
      <x:c r="H66" s="60" t="str"/>
      <x:c r="I66" s="23" t="str"/>
      <x:c r="J66" s="23" t="str"/>
      <x:c r="K66" s="23" t="str"/>
      <x:c r="L66" s="23" t="str"/>
      <x:c r="M66" s="23" t="str"/>
    </x:row>
    <x:row r="67">
      <x:c r="A67" s="23" t="str"/>
      <x:c r="B67" s="29" t="str"/>
      <x:c r="C67" s="29" t="str"/>
      <x:c r="D67" s="72" t="str"/>
      <x:c r="E67" s="72" t="str"/>
      <x:c r="F67" s="72" t="str"/>
      <x:c r="G67" s="60" t="str"/>
      <x:c r="H67" s="60" t="str"/>
      <x:c r="I67" s="23" t="str"/>
      <x:c r="J67" s="23" t="str"/>
      <x:c r="K67" s="23" t="str"/>
      <x:c r="L67" s="23" t="str"/>
      <x:c r="M67" s="23" t="str"/>
    </x:row>
    <x:row r="68">
      <x:c r="A68" s="23" t="str"/>
      <x:c r="B68" s="29" t="str"/>
      <x:c r="C68" s="29" t="str"/>
      <x:c r="D68" s="72" t="str"/>
      <x:c r="E68" s="72" t="str"/>
      <x:c r="F68" s="72" t="str"/>
      <x:c r="G68" s="60" t="str"/>
      <x:c r="H68" s="60" t="str"/>
      <x:c r="I68" s="23" t="str"/>
      <x:c r="J68" s="23" t="str"/>
      <x:c r="K68" s="23" t="str"/>
      <x:c r="L68" s="23" t="str"/>
      <x:c r="M68" s="23" t="str"/>
    </x:row>
    <x:row r="69">
      <x:c r="A69" s="23" t="str"/>
      <x:c r="B69" s="29" t="str"/>
      <x:c r="C69" s="29" t="str"/>
      <x:c r="D69" s="72" t="str"/>
      <x:c r="E69" s="72" t="str"/>
      <x:c r="F69" s="72" t="str"/>
      <x:c r="G69" s="60" t="str"/>
      <x:c r="H69" s="60" t="str"/>
      <x:c r="I69" s="23" t="str"/>
      <x:c r="J69" s="23" t="str"/>
      <x:c r="K69" s="23" t="str"/>
      <x:c r="L69" s="23" t="str"/>
      <x:c r="M69" s="23" t="str"/>
    </x:row>
    <x:row r="70">
      <x:c r="A70" s="23" t="str"/>
      <x:c r="B70" s="29" t="str"/>
      <x:c r="C70" s="29" t="str"/>
      <x:c r="D70" s="72" t="str"/>
      <x:c r="E70" s="72" t="str"/>
      <x:c r="F70" s="72" t="str"/>
      <x:c r="G70" s="60" t="str"/>
      <x:c r="H70" s="60" t="str"/>
      <x:c r="I70" s="23" t="str"/>
      <x:c r="J70" s="23" t="str"/>
      <x:c r="K70" s="23" t="str"/>
      <x:c r="L70" s="23" t="str"/>
      <x:c r="M70" s="23" t="str"/>
    </x:row>
    <x:row r="71">
      <x:c r="A71" s="23" t="str"/>
      <x:c r="B71" s="29" t="str"/>
      <x:c r="C71" s="29" t="str"/>
      <x:c r="D71" s="72" t="str"/>
      <x:c r="E71" s="72" t="str"/>
      <x:c r="F71" s="72" t="str"/>
      <x:c r="G71" s="60" t="str"/>
      <x:c r="H71" s="60" t="str"/>
      <x:c r="I71" s="23" t="str"/>
      <x:c r="J71" s="23" t="str"/>
      <x:c r="K71" s="23" t="str"/>
      <x:c r="L71" s="23" t="str"/>
      <x:c r="M71" s="23" t="str"/>
    </x:row>
    <x:row r="72">
      <x:c r="A72" s="23" t="str"/>
      <x:c r="B72" s="29" t="str"/>
      <x:c r="C72" s="29" t="str"/>
      <x:c r="D72" s="72" t="str"/>
      <x:c r="E72" s="72" t="str"/>
      <x:c r="F72" s="72" t="str"/>
      <x:c r="G72" s="60" t="str"/>
      <x:c r="H72" s="60" t="str"/>
      <x:c r="I72" s="23" t="str"/>
      <x:c r="J72" s="23" t="str"/>
      <x:c r="K72" s="23" t="str"/>
      <x:c r="L72" s="23" t="str"/>
      <x:c r="M72" s="23" t="str"/>
    </x:row>
    <x:row r="73">
      <x:c r="A73" s="23" t="str"/>
      <x:c r="B73" s="29" t="str"/>
      <x:c r="C73" s="29" t="str"/>
      <x:c r="D73" s="72" t="str"/>
      <x:c r="E73" s="72" t="str"/>
      <x:c r="F73" s="72" t="str"/>
      <x:c r="G73" s="60" t="str"/>
      <x:c r="H73" s="60" t="str"/>
      <x:c r="I73" s="23" t="str"/>
      <x:c r="J73" s="23" t="str"/>
      <x:c r="K73" s="23" t="str"/>
      <x:c r="L73" s="23" t="str"/>
      <x:c r="M73" s="23" t="str"/>
    </x:row>
    <x:row r="74">
      <x:c r="A74" s="23" t="str"/>
      <x:c r="B74" s="29" t="str"/>
      <x:c r="C74" s="29" t="str"/>
      <x:c r="D74" s="72" t="str"/>
      <x:c r="E74" s="72" t="str"/>
      <x:c r="F74" s="72" t="str"/>
      <x:c r="G74" s="60" t="str"/>
      <x:c r="H74" s="60" t="str"/>
      <x:c r="I74" s="23" t="str"/>
      <x:c r="J74" s="23" t="str"/>
      <x:c r="K74" s="23" t="str"/>
      <x:c r="L74" s="23" t="str"/>
      <x:c r="M74" s="23" t="str"/>
    </x:row>
    <x:row r="75">
      <x:c r="A75" s="23" t="str"/>
      <x:c r="B75" s="29" t="str"/>
      <x:c r="C75" s="29" t="str"/>
      <x:c r="D75" s="72" t="str"/>
      <x:c r="E75" s="72" t="str"/>
      <x:c r="F75" s="72" t="str"/>
      <x:c r="G75" s="60" t="str"/>
      <x:c r="H75" s="60" t="str"/>
      <x:c r="I75" s="23" t="str"/>
      <x:c r="J75" s="23" t="str"/>
      <x:c r="K75" s="23" t="str"/>
      <x:c r="L75" s="23" t="str"/>
      <x:c r="M75" s="23" t="str"/>
    </x:row>
    <x:row r="76">
      <x:c r="A76" s="23" t="str"/>
      <x:c r="B76" s="29" t="str"/>
      <x:c r="C76" s="29" t="str"/>
      <x:c r="D76" s="72" t="str"/>
      <x:c r="E76" s="72" t="str"/>
      <x:c r="F76" s="72" t="str"/>
      <x:c r="G76" s="60" t="str"/>
      <x:c r="H76" s="60" t="str"/>
      <x:c r="I76" s="23" t="str"/>
      <x:c r="J76" s="23" t="str"/>
      <x:c r="K76" s="23" t="str"/>
      <x:c r="L76" s="23" t="str"/>
      <x:c r="M76" s="23" t="str"/>
    </x:row>
    <x:row r="77">
      <x:c r="A77" s="23" t="str"/>
      <x:c r="B77" s="29" t="str"/>
      <x:c r="C77" s="29" t="str"/>
      <x:c r="D77" s="72" t="str"/>
      <x:c r="E77" s="72" t="str"/>
      <x:c r="F77" s="72" t="str"/>
      <x:c r="G77" s="60" t="str"/>
      <x:c r="H77" s="60" t="str"/>
      <x:c r="I77" s="23" t="str"/>
      <x:c r="J77" s="23" t="str"/>
      <x:c r="K77" s="23" t="str"/>
      <x:c r="L77" s="23" t="str"/>
      <x:c r="M77" s="23" t="str"/>
    </x:row>
    <x:row r="78">
      <x:c r="A78" s="23" t="str"/>
      <x:c r="B78" s="29" t="str"/>
      <x:c r="C78" s="29" t="str"/>
      <x:c r="D78" s="72" t="str"/>
      <x:c r="E78" s="72" t="str"/>
      <x:c r="F78" s="72" t="str"/>
      <x:c r="G78" s="60" t="str"/>
      <x:c r="H78" s="60" t="str"/>
      <x:c r="I78" s="23" t="str"/>
      <x:c r="J78" s="23" t="str"/>
      <x:c r="K78" s="23" t="str"/>
      <x:c r="L78" s="23" t="str"/>
      <x:c r="M78" s="23" t="str"/>
    </x:row>
    <x:row r="79">
      <x:c r="A79" s="23" t="str"/>
      <x:c r="B79" s="29" t="str"/>
      <x:c r="C79" s="29" t="str"/>
      <x:c r="D79" s="72" t="str"/>
      <x:c r="E79" s="72" t="str"/>
      <x:c r="F79" s="72" t="str"/>
      <x:c r="G79" s="60" t="str"/>
      <x:c r="H79" s="60" t="str"/>
      <x:c r="I79" s="23" t="str"/>
      <x:c r="J79" s="23" t="str"/>
      <x:c r="K79" s="23" t="str"/>
      <x:c r="L79" s="23" t="str"/>
      <x:c r="M79" s="23" t="str"/>
    </x:row>
    <x:row r="80">
      <x:c r="A80" s="23" t="str"/>
      <x:c r="B80" s="29" t="str"/>
      <x:c r="C80" s="29" t="str"/>
      <x:c r="D80" s="72" t="str"/>
      <x:c r="E80" s="72" t="str"/>
      <x:c r="F80" s="72" t="str"/>
      <x:c r="G80" s="60" t="str"/>
      <x:c r="H80" s="60" t="str"/>
      <x:c r="I80" s="23" t="str"/>
      <x:c r="J80" s="23" t="str"/>
      <x:c r="K80" s="23" t="str"/>
      <x:c r="L80" s="23" t="str"/>
      <x:c r="M80" s="23" t="str"/>
    </x:row>
    <x:row r="81">
      <x:c r="A81" s="23" t="str"/>
      <x:c r="B81" s="29" t="str"/>
      <x:c r="C81" s="29" t="str"/>
      <x:c r="D81" s="72" t="str"/>
      <x:c r="E81" s="72" t="str"/>
      <x:c r="F81" s="72" t="str"/>
      <x:c r="G81" s="60" t="str"/>
      <x:c r="H81" s="60" t="str"/>
      <x:c r="I81" s="23" t="str"/>
      <x:c r="J81" s="23" t="str"/>
      <x:c r="K81" s="23" t="str"/>
      <x:c r="L81" s="23" t="str"/>
      <x:c r="M81" s="23" t="str"/>
    </x:row>
    <x:row r="82">
      <x:c r="A82" s="23" t="str"/>
      <x:c r="B82" s="29" t="str"/>
      <x:c r="C82" s="29" t="str"/>
      <x:c r="D82" s="72" t="str"/>
      <x:c r="E82" s="72" t="str"/>
      <x:c r="F82" s="72" t="str"/>
      <x:c r="G82" s="60" t="str"/>
      <x:c r="H82" s="60" t="str"/>
      <x:c r="I82" s="23" t="str"/>
      <x:c r="J82" s="23" t="str"/>
      <x:c r="K82" s="23" t="str"/>
      <x:c r="L82" s="23" t="str"/>
      <x:c r="M82" s="23" t="str"/>
    </x:row>
    <x:row r="83">
      <x:c r="A83" s="23" t="str"/>
      <x:c r="B83" s="29" t="str"/>
      <x:c r="C83" s="29" t="str"/>
      <x:c r="D83" s="72" t="str"/>
      <x:c r="E83" s="72" t="str"/>
      <x:c r="F83" s="72" t="str"/>
      <x:c r="G83" s="60" t="str"/>
      <x:c r="H83" s="60" t="str"/>
      <x:c r="I83" s="23" t="str"/>
      <x:c r="J83" s="23" t="str"/>
      <x:c r="K83" s="23" t="str"/>
      <x:c r="L83" s="23" t="str"/>
      <x:c r="M83" s="23" t="str"/>
    </x:row>
    <x:row r="84">
      <x:c r="A84" s="23" t="str"/>
      <x:c r="B84" s="29" t="str"/>
      <x:c r="C84" s="29" t="str"/>
      <x:c r="D84" s="72" t="str"/>
      <x:c r="E84" s="72" t="str"/>
      <x:c r="F84" s="72" t="str"/>
      <x:c r="G84" s="60" t="str"/>
      <x:c r="H84" s="60" t="str"/>
      <x:c r="I84" s="23" t="str"/>
      <x:c r="J84" s="23" t="str"/>
      <x:c r="K84" s="23" t="str"/>
      <x:c r="L84" s="23" t="str"/>
      <x:c r="M84" s="23" t="str"/>
    </x:row>
    <x:row r="85">
      <x:c r="A85" s="23" t="str"/>
      <x:c r="B85" s="29" t="str"/>
      <x:c r="C85" s="29" t="str"/>
      <x:c r="D85" s="72" t="str"/>
      <x:c r="E85" s="72" t="str"/>
      <x:c r="F85" s="72" t="str"/>
      <x:c r="G85" s="60" t="str"/>
      <x:c r="H85" s="60" t="str"/>
      <x:c r="I85" s="23" t="str"/>
      <x:c r="J85" s="23" t="str"/>
      <x:c r="K85" s="23" t="str"/>
      <x:c r="L85" s="23" t="str"/>
      <x:c r="M85" s="23" t="str"/>
    </x:row>
    <x:row r="86">
      <x:c r="A86" s="23" t="str"/>
      <x:c r="B86" s="29" t="str"/>
      <x:c r="C86" s="29" t="str"/>
      <x:c r="D86" s="72" t="str"/>
      <x:c r="E86" s="72" t="str"/>
      <x:c r="F86" s="72" t="str"/>
      <x:c r="G86" s="60" t="str"/>
      <x:c r="H86" s="60" t="str"/>
      <x:c r="I86" s="23" t="str"/>
      <x:c r="J86" s="23" t="str"/>
      <x:c r="K86" s="23" t="str"/>
      <x:c r="L86" s="23" t="str"/>
      <x:c r="M86" s="23" t="str"/>
    </x:row>
    <x:row r="87">
      <x:c r="A87" s="23" t="str"/>
      <x:c r="B87" s="29" t="str"/>
      <x:c r="C87" s="29" t="str"/>
      <x:c r="D87" s="72" t="str"/>
      <x:c r="E87" s="72" t="str"/>
      <x:c r="F87" s="72" t="str"/>
      <x:c r="G87" s="60" t="str"/>
      <x:c r="H87" s="60" t="str"/>
      <x:c r="I87" s="23" t="str"/>
      <x:c r="J87" s="23" t="str"/>
      <x:c r="K87" s="23" t="str"/>
      <x:c r="L87" s="23" t="str"/>
      <x:c r="M87" s="23" t="str"/>
    </x:row>
    <x:row r="88">
      <x:c r="A88" s="23" t="str"/>
      <x:c r="B88" s="29" t="str"/>
      <x:c r="C88" s="29" t="str"/>
      <x:c r="D88" s="72" t="str"/>
      <x:c r="E88" s="72" t="str"/>
      <x:c r="F88" s="72" t="str"/>
      <x:c r="G88" s="60" t="str"/>
      <x:c r="H88" s="60" t="str"/>
      <x:c r="I88" s="23" t="str"/>
      <x:c r="J88" s="23" t="str"/>
      <x:c r="K88" s="23" t="str"/>
      <x:c r="L88" s="23" t="str"/>
      <x:c r="M88" s="23" t="str"/>
    </x:row>
    <x:row r="89">
      <x:c r="A89" s="23" t="str"/>
      <x:c r="B89" s="29" t="str"/>
      <x:c r="C89" s="29" t="str"/>
      <x:c r="D89" s="72" t="str"/>
      <x:c r="E89" s="72" t="str"/>
      <x:c r="F89" s="72" t="str"/>
      <x:c r="G89" s="60" t="str"/>
      <x:c r="H89" s="60" t="str"/>
      <x:c r="I89" s="23" t="str"/>
      <x:c r="J89" s="23" t="str"/>
      <x:c r="K89" s="23" t="str"/>
      <x:c r="L89" s="23" t="str"/>
      <x:c r="M89" s="23" t="str"/>
    </x:row>
    <x:row r="90">
      <x:c r="A90" s="23" t="str"/>
      <x:c r="B90" s="29" t="str"/>
      <x:c r="C90" s="29" t="str"/>
      <x:c r="D90" s="72" t="str"/>
      <x:c r="E90" s="72" t="str"/>
      <x:c r="F90" s="72" t="str"/>
      <x:c r="G90" s="60" t="str"/>
      <x:c r="H90" s="60" t="str"/>
      <x:c r="I90" s="23" t="str"/>
      <x:c r="J90" s="23" t="str"/>
      <x:c r="K90" s="23" t="str"/>
      <x:c r="L90" s="23" t="str"/>
      <x:c r="M90" s="23" t="str"/>
    </x:row>
    <x:row r="91">
      <x:c r="A91" s="23" t="str"/>
      <x:c r="B91" s="29" t="str"/>
      <x:c r="C91" s="29" t="str"/>
      <x:c r="D91" s="72" t="str"/>
      <x:c r="E91" s="72" t="str"/>
      <x:c r="F91" s="72" t="str"/>
      <x:c r="G91" s="60" t="str"/>
      <x:c r="H91" s="60" t="str"/>
      <x:c r="I91" s="23" t="str"/>
      <x:c r="J91" s="23" t="str"/>
      <x:c r="K91" s="23" t="str"/>
      <x:c r="L91" s="23" t="str"/>
      <x:c r="M91" s="23" t="str"/>
    </x:row>
    <x:row r="92">
      <x:c r="A92" s="23" t="str"/>
      <x:c r="B92" s="29" t="str"/>
      <x:c r="C92" s="29" t="str"/>
      <x:c r="D92" s="72" t="str"/>
      <x:c r="E92" s="72" t="str"/>
      <x:c r="F92" s="72" t="str"/>
      <x:c r="G92" s="60" t="str"/>
      <x:c r="H92" s="60" t="str"/>
      <x:c r="I92" s="23" t="str"/>
      <x:c r="J92" s="23" t="str"/>
      <x:c r="K92" s="23" t="str"/>
      <x:c r="L92" s="23" t="str"/>
      <x:c r="M92" s="23" t="str"/>
    </x:row>
    <x:row r="93">
      <x:c r="A93" s="23" t="str"/>
      <x:c r="B93" s="29" t="str"/>
      <x:c r="C93" s="29" t="str"/>
      <x:c r="D93" s="72" t="str"/>
      <x:c r="E93" s="72" t="str"/>
      <x:c r="F93" s="72" t="str"/>
      <x:c r="G93" s="60" t="str"/>
      <x:c r="H93" s="60" t="str"/>
      <x:c r="I93" s="23" t="str"/>
      <x:c r="J93" s="23" t="str"/>
      <x:c r="K93" s="23" t="str"/>
      <x:c r="L93" s="23" t="str"/>
      <x:c r="M93" s="23" t="str"/>
    </x:row>
    <x:row r="94">
      <x:c r="A94" s="23" t="str"/>
      <x:c r="B94" s="29" t="str"/>
      <x:c r="C94" s="29" t="str"/>
      <x:c r="D94" s="72" t="str"/>
      <x:c r="E94" s="72" t="str"/>
      <x:c r="F94" s="72" t="str"/>
      <x:c r="G94" s="60" t="str"/>
      <x:c r="H94" s="60" t="str"/>
      <x:c r="I94" s="23" t="str"/>
      <x:c r="J94" s="23" t="str"/>
      <x:c r="K94" s="23" t="str"/>
      <x:c r="L94" s="23" t="str"/>
      <x:c r="M94" s="23" t="str"/>
    </x:row>
    <x:row r="95">
      <x:c r="A95" s="23" t="str"/>
      <x:c r="B95" s="29" t="str"/>
      <x:c r="C95" s="29" t="str"/>
      <x:c r="D95" s="72" t="str"/>
      <x:c r="E95" s="72" t="str"/>
      <x:c r="F95" s="72" t="str"/>
      <x:c r="G95" s="60" t="str"/>
      <x:c r="H95" s="60" t="str"/>
      <x:c r="I95" s="23" t="str"/>
      <x:c r="J95" s="23" t="str"/>
      <x:c r="K95" s="23" t="str"/>
      <x:c r="L95" s="23" t="str"/>
      <x:c r="M95" s="23" t="str"/>
    </x:row>
    <x:row r="96">
      <x:c r="A96" s="23" t="str"/>
      <x:c r="B96" s="29" t="str"/>
      <x:c r="C96" s="29" t="str"/>
      <x:c r="D96" s="72" t="str"/>
      <x:c r="E96" s="72" t="str"/>
      <x:c r="F96" s="72" t="str"/>
      <x:c r="G96" s="60" t="str"/>
      <x:c r="H96" s="60" t="str"/>
      <x:c r="I96" s="23" t="str"/>
      <x:c r="J96" s="23" t="str"/>
      <x:c r="K96" s="23" t="str"/>
      <x:c r="L96" s="23" t="str"/>
      <x:c r="M96" s="23" t="str"/>
    </x:row>
    <x:row r="97">
      <x:c r="A97" s="23" t="str"/>
      <x:c r="B97" s="29" t="str"/>
      <x:c r="C97" s="29" t="str"/>
      <x:c r="D97" s="72" t="str"/>
      <x:c r="E97" s="72" t="str"/>
      <x:c r="F97" s="72" t="str"/>
      <x:c r="G97" s="60" t="str"/>
      <x:c r="H97" s="60" t="str"/>
      <x:c r="I97" s="23" t="str"/>
      <x:c r="J97" s="23" t="str"/>
      <x:c r="K97" s="23" t="str"/>
      <x:c r="L97" s="23" t="str"/>
      <x:c r="M97" s="23" t="str"/>
    </x:row>
    <x:row r="98">
      <x:c r="A98" s="23" t="str"/>
      <x:c r="B98" s="29" t="str"/>
      <x:c r="C98" s="29" t="str"/>
      <x:c r="D98" s="72" t="str"/>
      <x:c r="E98" s="72" t="str"/>
      <x:c r="F98" s="72" t="str"/>
      <x:c r="G98" s="60" t="str"/>
      <x:c r="H98" s="60" t="str"/>
      <x:c r="I98" s="23" t="str"/>
      <x:c r="J98" s="23" t="str"/>
      <x:c r="K98" s="23" t="str"/>
      <x:c r="L98" s="23" t="str"/>
      <x:c r="M98" s="23" t="str"/>
    </x:row>
    <x:row r="99">
      <x:c r="A99" s="23" t="str"/>
      <x:c r="B99" s="29" t="str"/>
      <x:c r="C99" s="29" t="str"/>
      <x:c r="D99" s="72" t="str"/>
      <x:c r="E99" s="72" t="str"/>
      <x:c r="F99" s="72" t="str"/>
      <x:c r="G99" s="60" t="str"/>
      <x:c r="H99" s="60" t="str"/>
      <x:c r="I99" s="23" t="str"/>
      <x:c r="J99" s="23" t="str"/>
      <x:c r="K99" s="23" t="str"/>
      <x:c r="L99" s="23" t="str"/>
      <x:c r="M99" s="23" t="str"/>
    </x:row>
    <x:row r="100">
      <x:c r="A100" s="23" t="str"/>
      <x:c r="B100" s="29" t="str"/>
      <x:c r="C100" s="29" t="str"/>
      <x:c r="D100" s="72" t="str"/>
      <x:c r="E100" s="72" t="str"/>
      <x:c r="F100" s="72" t="str"/>
      <x:c r="G100" s="60" t="str"/>
      <x:c r="H100" s="60" t="str"/>
      <x:c r="I100" s="23" t="str"/>
      <x:c r="J100" s="23" t="str"/>
      <x:c r="K100" s="23" t="str"/>
      <x:c r="L100" s="23" t="str"/>
      <x:c r="M100" s="23" t="str"/>
    </x:row>
    <x:row r="101">
      <x:c r="A101" s="23" t="str"/>
      <x:c r="B101" s="29" t="str"/>
      <x:c r="C101" s="29" t="str"/>
      <x:c r="D101" s="72" t="str"/>
      <x:c r="E101" s="72" t="str"/>
      <x:c r="F101" s="72" t="str"/>
      <x:c r="G101" s="60" t="str"/>
      <x:c r="H101" s="60" t="str"/>
      <x:c r="I101" s="23" t="str"/>
      <x:c r="J101" s="23" t="str"/>
      <x:c r="K101" s="23" t="str"/>
      <x:c r="L101" s="23" t="str"/>
      <x:c r="M101" s="23" t="str"/>
    </x:row>
    <x:row r="102">
      <x:c r="A102" s="23" t="str"/>
      <x:c r="B102" s="29" t="str"/>
      <x:c r="C102" s="29" t="str"/>
      <x:c r="D102" s="72" t="str"/>
      <x:c r="E102" s="72" t="str"/>
      <x:c r="F102" s="72" t="str"/>
      <x:c r="G102" s="60" t="str"/>
      <x:c r="H102" s="60" t="str"/>
      <x:c r="I102" s="23" t="str"/>
      <x:c r="J102" s="23" t="str"/>
      <x:c r="K102" s="23" t="str"/>
      <x:c r="L102" s="23" t="str"/>
      <x:c r="M102" s="23" t="str"/>
    </x:row>
    <x:row r="103">
      <x:c r="A103" s="23" t="str"/>
      <x:c r="B103" s="29" t="str"/>
      <x:c r="C103" s="29" t="str"/>
      <x:c r="D103" s="72" t="str"/>
      <x:c r="E103" s="72" t="str"/>
      <x:c r="F103" s="72" t="str"/>
      <x:c r="G103" s="60" t="str"/>
      <x:c r="H103" s="60" t="str"/>
      <x:c r="I103" s="23" t="str"/>
      <x:c r="J103" s="23" t="str"/>
      <x:c r="K103" s="23" t="str"/>
      <x:c r="L103" s="23" t="str"/>
      <x:c r="M103" s="23" t="str"/>
    </x:row>
  </x:sheetData>
  <x:mergeCells>
    <x:mergeCell ref="A1:M1"/>
  </x:mergeCells>
  <x:dataValidations count="1">
    <x:dataValidation type="list" sqref="J4:J103">
      <x:formula1>"Very Cheap,Cheap,Fair Value,Expensive,Very Expensive"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182560d64b4e9d"/>
  </x:tableParts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6" hidden="0" customWidth="1"/>
    <x:col min="4" max="4" width="14" hidden="0" customWidth="1"/>
    <x:col min="5" max="5" width="14" hidden="0" customWidth="1"/>
    <x:col min="6" max="6" width="13" hidden="0" customWidth="1"/>
    <x:col min="7" max="7" width="14" hidden="0" customWidth="1"/>
    <x:col min="8" max="8" width="15" hidden="0" customWidth="1"/>
    <x:col min="9" max="9" width="14" hidden="0" customWidth="1"/>
    <x:col min="10" max="10" width="18" hidden="0" customWidth="1"/>
    <x:col min="11" max="11" width="48" hidden="0" customWidth="1"/>
    <x:col min="12" max="12" width="52" hidden="0" customWidth="1"/>
  </x:cols>
  <x:sheetData>
    <x:row r="1" ht="30" customHeight="1">
      <x:c r="A1" s="5" t="str">
        <x:v>Dividend / Moat / Growth / Bond Special Flags</x:v>
      </x:c>
    </x:row>
    <x:row r="3" ht="30" customHeight="1">
      <x:c r="A3" s="14" t="str">
        <x:v>Ticker</x:v>
      </x:c>
      <x:c r="B3" s="14" t="str">
        <x:v>Dividend Flag</x:v>
      </x:c>
      <x:c r="C3" s="14" t="str">
        <x:v>Bond Candidate</x:v>
      </x:c>
      <x:c r="D3" s="14" t="str">
        <x:v>Moat Flag</x:v>
      </x:c>
      <x:c r="E3" s="14" t="str">
        <x:v>Growth Flag</x:v>
      </x:c>
      <x:c r="F3" s="14" t="str">
        <x:v>Value Flag</x:v>
      </x:c>
      <x:c r="G3" s="14" t="str">
        <x:v>Low Debt Flag</x:v>
      </x:c>
      <x:c r="H3" s="14" t="str">
        <x:v>Risk Flag</x:v>
      </x:c>
      <x:c r="I3" s="14" t="str">
        <x:v>Overall Score</x:v>
      </x:c>
      <x:c r="J3" s="14" t="str">
        <x:v>Valuation</x:v>
      </x:c>
      <x:c r="K3" s="14" t="str">
        <x:v>Key Takeaway</x:v>
      </x:c>
      <x:c r="L3" s="14" t="str">
        <x:v>Monitoring</x:v>
      </x:c>
    </x:row>
    <x:row r="4">
      <x:c r="A4" s="26" t="str">
        <x:v>DELTA</x:v>
      </x:c>
      <x:c r="B4" s="26" t="str">
        <x:v>No</x:v>
      </x:c>
      <x:c r="C4" s="26" t="str">
        <x:v>Watch</x:v>
      </x:c>
      <x:c r="D4" s="26" t="str">
        <x:v>Yes</x:v>
      </x:c>
      <x:c r="E4" s="26" t="str">
        <x:v>Yes</x:v>
      </x:c>
      <x:c r="F4" s="26" t="str"/>
      <x:c r="G4" s="26" t="str">
        <x:v>Yes</x:v>
      </x:c>
      <x:c r="H4" s="26" t="str">
        <x:v>Valuation</x:v>
      </x:c>
      <x:c r="I4" s="80" t="n">
        <x:f>'02_Scorecard'!N4</x:f>
        <x:v>7.8125</x:v>
      </x:c>
      <x:c r="J4" s="26" t="str">
        <x:v>Very Expensive</x:v>
      </x:c>
      <x:c r="K4" s="26" t="str">
        <x:v>Best structural growth profile in Batch 1, but the weakest margin of safety.</x:v>
      </x:c>
      <x:c r="L4" s="26" t="str">
        <x:v>AI capex, order growth, gross margin, customer mix, capex and P/E de-rating.</x:v>
      </x:c>
    </x:row>
    <x:row r="5">
      <x:c r="A5" s="26" t="str">
        <x:v>PTT</x:v>
      </x:c>
      <x:c r="B5" s="26" t="str">
        <x:v>Yes</x:v>
      </x:c>
      <x:c r="C5" s="26" t="str">
        <x:v>Yes</x:v>
      </x:c>
      <x:c r="D5" s="26" t="str">
        <x:v>Yes</x:v>
      </x:c>
      <x:c r="E5" s="26" t="str">
        <x:v>Moderate</x:v>
      </x:c>
      <x:c r="F5" s="26" t="str">
        <x:v>Yes</x:v>
      </x:c>
      <x:c r="G5" s="26" t="str">
        <x:v>Review</x:v>
      </x:c>
      <x:c r="H5" s="26" t="str"/>
      <x:c r="I5" s="80" t="n">
        <x:f>'02_Scorecard'!N5</x:f>
        <x:v>7.625</x:v>
      </x:c>
      <x:c r="J5" s="26" t="str">
        <x:v>Cheap</x:v>
      </x:c>
      <x:c r="K5" s="26" t="str">
        <x:v>Strongest value and bond profile in Batch 1; growth is the main limitation.</x:v>
      </x:c>
      <x:c r="L5" s="26" t="str">
        <x:v>Oil/gas prices, refining/petrochemical spreads, PTTEP earnings, dividends, capex and policy intervention.</x:v>
      </x:c>
    </x:row>
    <x:row r="6">
      <x:c r="A6" s="26" t="str">
        <x:v>ADVANC</x:v>
      </x:c>
      <x:c r="B6" s="26" t="str">
        <x:v>Yes</x:v>
      </x:c>
      <x:c r="C6" s="26" t="str">
        <x:v>Yes</x:v>
      </x:c>
      <x:c r="D6" s="26" t="str">
        <x:v>Yes</x:v>
      </x:c>
      <x:c r="E6" s="26" t="str">
        <x:v>Moderate</x:v>
      </x:c>
      <x:c r="F6" s="26" t="str"/>
      <x:c r="G6" s="26" t="str">
        <x:v>Yes</x:v>
      </x:c>
      <x:c r="H6" s="26" t="str"/>
      <x:c r="I6" s="80" t="n">
        <x:f>'02_Scorecard'!N6</x:f>
        <x:v>8.4375</x:v>
      </x:c>
      <x:c r="J6" s="26" t="str">
        <x:v>Fair Value</x:v>
      </x:c>
      <x:c r="K6" s="26" t="str">
        <x:v>Current Batch 1 leader on risk-adjusted quality.</x:v>
      </x:c>
      <x:c r="L6" s="26" t="str">
        <x:v>ARPU, churn, service revenue, EBITDA margin, capex, spectrum payments, FCF and dividend payout.</x:v>
      </x:c>
    </x:row>
    <x:row r="7">
      <x:c r="A7" s="26" t="str">
        <x:v>GULF</x:v>
      </x:c>
      <x:c r="B7" s="26" t="str">
        <x:v>No</x:v>
      </x:c>
      <x:c r="C7" s="26" t="str">
        <x:v>Selective</x:v>
      </x:c>
      <x:c r="D7" s="26" t="str">
        <x:v>Strong</x:v>
      </x:c>
      <x:c r="E7" s="26" t="str">
        <x:v>Yes</x:v>
      </x:c>
      <x:c r="F7" s="26" t="str"/>
      <x:c r="G7" s="26" t="str">
        <x:v>Review</x:v>
      </x:c>
      <x:c r="H7" s="26" t="str">
        <x:v>Leverage</x:v>
      </x:c>
      <x:c r="I7" s="80" t="n">
        <x:f>'02_Scorecard'!N7</x:f>
        <x:v>8.0625</x:v>
      </x:c>
      <x:c r="J7" s="26" t="str">
        <x:v>Fair Value</x:v>
      </x:c>
      <x:c r="K7" s="26" t="str">
        <x:v>Second-strongest Batch 1 score; data-center optionality is the standout upside.</x:v>
      </x:c>
      <x:c r="L7" s="26" t="str">
        <x:v>Core profit, ADVANC contribution, net debt, project COD, data-center MW contracted, funding cost and SOTP discount.</x:v>
      </x:c>
    </x:row>
    <x:row r="8">
      <x:c r="A8" s="26" t="str">
        <x:v>AOT</x:v>
      </x:c>
      <x:c r="B8" s="26" t="str">
        <x:v>No</x:v>
      </x:c>
      <x:c r="C8" s="26" t="str">
        <x:v>Yes</x:v>
      </x:c>
      <x:c r="D8" s="26" t="str">
        <x:v>Yes</x:v>
      </x:c>
      <x:c r="E8" s="26" t="str">
        <x:v>Moderate</x:v>
      </x:c>
      <x:c r="F8" s="26" t="str"/>
      <x:c r="G8" s="26" t="str">
        <x:v>Yes</x:v>
      </x:c>
      <x:c r="H8" s="26" t="str">
        <x:v>Valuation</x:v>
      </x:c>
      <x:c r="I8" s="80" t="n">
        <x:f>'02_Scorecard'!N8</x:f>
        <x:v>7.8125</x:v>
      </x:c>
      <x:c r="J8" s="26" t="str">
        <x:v>Expensive</x:v>
      </x:c>
      <x:c r="K8" s="26" t="str">
        <x:v>Strongest moat in Batch 1, but valuation remains demanding.</x:v>
      </x:c>
      <x:c r="L8" s="26" t="str">
        <x:v>International passengers, Chinese arrivals, aero/non-aero revenue, concession terms, capex and P/E.</x:v>
      </x:c>
    </x:row>
    <x:row r="9">
      <x:c r="A9" s="23" t="str"/>
      <x:c r="B9" s="23" t="str"/>
      <x:c r="C9" s="23" t="str"/>
      <x:c r="D9" s="23" t="str"/>
      <x:c r="E9" s="23" t="str"/>
      <x:c r="F9" s="23" t="str"/>
      <x:c r="G9" s="23" t="str"/>
      <x:c r="H9" s="23" t="str"/>
      <x:c r="I9" s="44" t="str"/>
      <x:c r="J9" s="23" t="str"/>
      <x:c r="K9" s="23" t="str"/>
      <x:c r="L9" s="23" t="str"/>
    </x:row>
    <x:row r="10">
      <x:c r="A10" s="23" t="str"/>
      <x:c r="B10" s="23" t="str"/>
      <x:c r="C10" s="23" t="str"/>
      <x:c r="D10" s="23" t="str"/>
      <x:c r="E10" s="23" t="str"/>
      <x:c r="F10" s="23" t="str"/>
      <x:c r="G10" s="23" t="str"/>
      <x:c r="H10" s="23" t="str"/>
      <x:c r="I10" s="44" t="str"/>
      <x:c r="J10" s="23" t="str"/>
      <x:c r="K10" s="23" t="str"/>
      <x:c r="L10" s="23" t="str"/>
    </x:row>
    <x:row r="11">
      <x:c r="A11" s="23" t="str"/>
      <x:c r="B11" s="23" t="str"/>
      <x:c r="C11" s="23" t="str"/>
      <x:c r="D11" s="23" t="str"/>
      <x:c r="E11" s="23" t="str"/>
      <x:c r="F11" s="23" t="str"/>
      <x:c r="G11" s="23" t="str"/>
      <x:c r="H11" s="23" t="str"/>
      <x:c r="I11" s="44" t="str"/>
      <x:c r="J11" s="23" t="str"/>
      <x:c r="K11" s="23" t="str"/>
      <x:c r="L11" s="23" t="str"/>
    </x:row>
    <x:row r="12">
      <x:c r="A12" s="23" t="str"/>
      <x:c r="B12" s="23" t="str"/>
      <x:c r="C12" s="23" t="str"/>
      <x:c r="D12" s="23" t="str"/>
      <x:c r="E12" s="23" t="str"/>
      <x:c r="F12" s="23" t="str"/>
      <x:c r="G12" s="23" t="str"/>
      <x:c r="H12" s="23" t="str"/>
      <x:c r="I12" s="44" t="str"/>
      <x:c r="J12" s="23" t="str"/>
      <x:c r="K12" s="23" t="str"/>
      <x:c r="L12" s="23" t="str"/>
    </x:row>
    <x:row r="13">
      <x:c r="A13" s="23" t="str"/>
      <x:c r="B13" s="23" t="str"/>
      <x:c r="C13" s="23" t="str"/>
      <x:c r="D13" s="23" t="str"/>
      <x:c r="E13" s="23" t="str"/>
      <x:c r="F13" s="23" t="str"/>
      <x:c r="G13" s="23" t="str"/>
      <x:c r="H13" s="23" t="str"/>
      <x:c r="I13" s="44" t="str"/>
      <x:c r="J13" s="23" t="str"/>
      <x:c r="K13" s="23" t="str"/>
      <x:c r="L13" s="23" t="str"/>
    </x:row>
    <x:row r="14">
      <x:c r="A14" s="23" t="str"/>
      <x:c r="B14" s="23" t="str"/>
      <x:c r="C14" s="23" t="str"/>
      <x:c r="D14" s="23" t="str"/>
      <x:c r="E14" s="23" t="str"/>
      <x:c r="F14" s="23" t="str"/>
      <x:c r="G14" s="23" t="str"/>
      <x:c r="H14" s="23" t="str"/>
      <x:c r="I14" s="44" t="str"/>
      <x:c r="J14" s="23" t="str"/>
      <x:c r="K14" s="23" t="str"/>
      <x:c r="L14" s="23" t="str"/>
    </x:row>
    <x:row r="15">
      <x:c r="A15" s="23" t="str"/>
      <x:c r="B15" s="23" t="str"/>
      <x:c r="C15" s="23" t="str"/>
      <x:c r="D15" s="23" t="str"/>
      <x:c r="E15" s="23" t="str"/>
      <x:c r="F15" s="23" t="str"/>
      <x:c r="G15" s="23" t="str"/>
      <x:c r="H15" s="23" t="str"/>
      <x:c r="I15" s="44" t="str"/>
      <x:c r="J15" s="23" t="str"/>
      <x:c r="K15" s="23" t="str"/>
      <x:c r="L15" s="23" t="str"/>
    </x:row>
    <x:row r="16">
      <x:c r="A16" s="23" t="str"/>
      <x:c r="B16" s="23" t="str"/>
      <x:c r="C16" s="23" t="str"/>
      <x:c r="D16" s="23" t="str"/>
      <x:c r="E16" s="23" t="str"/>
      <x:c r="F16" s="23" t="str"/>
      <x:c r="G16" s="23" t="str"/>
      <x:c r="H16" s="23" t="str"/>
      <x:c r="I16" s="44" t="str"/>
      <x:c r="J16" s="23" t="str"/>
      <x:c r="K16" s="23" t="str"/>
      <x:c r="L16" s="23" t="str"/>
    </x:row>
    <x:row r="17">
      <x:c r="A17" s="23" t="str"/>
      <x:c r="B17" s="23" t="str"/>
      <x:c r="C17" s="23" t="str"/>
      <x:c r="D17" s="23" t="str"/>
      <x:c r="E17" s="23" t="str"/>
      <x:c r="F17" s="23" t="str"/>
      <x:c r="G17" s="23" t="str"/>
      <x:c r="H17" s="23" t="str"/>
      <x:c r="I17" s="44" t="str"/>
      <x:c r="J17" s="23" t="str"/>
      <x:c r="K17" s="23" t="str"/>
      <x:c r="L17" s="23" t="str"/>
    </x:row>
    <x:row r="18">
      <x:c r="A18" s="23" t="str"/>
      <x:c r="B18" s="23" t="str"/>
      <x:c r="C18" s="23" t="str"/>
      <x:c r="D18" s="23" t="str"/>
      <x:c r="E18" s="23" t="str"/>
      <x:c r="F18" s="23" t="str"/>
      <x:c r="G18" s="23" t="str"/>
      <x:c r="H18" s="23" t="str"/>
      <x:c r="I18" s="44" t="str"/>
      <x:c r="J18" s="23" t="str"/>
      <x:c r="K18" s="23" t="str"/>
      <x:c r="L18" s="23" t="str"/>
    </x:row>
    <x:row r="19">
      <x:c r="A19" s="23" t="str"/>
      <x:c r="B19" s="23" t="str"/>
      <x:c r="C19" s="23" t="str"/>
      <x:c r="D19" s="23" t="str"/>
      <x:c r="E19" s="23" t="str"/>
      <x:c r="F19" s="23" t="str"/>
      <x:c r="G19" s="23" t="str"/>
      <x:c r="H19" s="23" t="str"/>
      <x:c r="I19" s="44" t="str"/>
      <x:c r="J19" s="23" t="str"/>
      <x:c r="K19" s="23" t="str"/>
      <x:c r="L19" s="23" t="str"/>
    </x:row>
    <x:row r="20">
      <x:c r="A20" s="23" t="str"/>
      <x:c r="B20" s="23" t="str"/>
      <x:c r="C20" s="23" t="str"/>
      <x:c r="D20" s="23" t="str"/>
      <x:c r="E20" s="23" t="str"/>
      <x:c r="F20" s="23" t="str"/>
      <x:c r="G20" s="23" t="str"/>
      <x:c r="H20" s="23" t="str"/>
      <x:c r="I20" s="44" t="str"/>
      <x:c r="J20" s="23" t="str"/>
      <x:c r="K20" s="23" t="str"/>
      <x:c r="L20" s="23" t="str"/>
    </x:row>
    <x:row r="21">
      <x:c r="A21" s="23" t="str"/>
      <x:c r="B21" s="23" t="str"/>
      <x:c r="C21" s="23" t="str"/>
      <x:c r="D21" s="23" t="str"/>
      <x:c r="E21" s="23" t="str"/>
      <x:c r="F21" s="23" t="str"/>
      <x:c r="G21" s="23" t="str"/>
      <x:c r="H21" s="23" t="str"/>
      <x:c r="I21" s="44" t="str"/>
      <x:c r="J21" s="23" t="str"/>
      <x:c r="K21" s="23" t="str"/>
      <x:c r="L21" s="23" t="str"/>
    </x:row>
    <x:row r="22">
      <x:c r="A22" s="23" t="str"/>
      <x:c r="B22" s="23" t="str"/>
      <x:c r="C22" s="23" t="str"/>
      <x:c r="D22" s="23" t="str"/>
      <x:c r="E22" s="23" t="str"/>
      <x:c r="F22" s="23" t="str"/>
      <x:c r="G22" s="23" t="str"/>
      <x:c r="H22" s="23" t="str"/>
      <x:c r="I22" s="44" t="str"/>
      <x:c r="J22" s="23" t="str"/>
      <x:c r="K22" s="23" t="str"/>
      <x:c r="L22" s="23" t="str"/>
    </x:row>
    <x:row r="23">
      <x:c r="A23" s="23" t="str"/>
      <x:c r="B23" s="23" t="str"/>
      <x:c r="C23" s="23" t="str"/>
      <x:c r="D23" s="23" t="str"/>
      <x:c r="E23" s="23" t="str"/>
      <x:c r="F23" s="23" t="str"/>
      <x:c r="G23" s="23" t="str"/>
      <x:c r="H23" s="23" t="str"/>
      <x:c r="I23" s="44" t="str"/>
      <x:c r="J23" s="23" t="str"/>
      <x:c r="K23" s="23" t="str"/>
      <x:c r="L23" s="23" t="str"/>
    </x:row>
    <x:row r="24">
      <x:c r="A24" s="23" t="str"/>
      <x:c r="B24" s="23" t="str"/>
      <x:c r="C24" s="23" t="str"/>
      <x:c r="D24" s="23" t="str"/>
      <x:c r="E24" s="23" t="str"/>
      <x:c r="F24" s="23" t="str"/>
      <x:c r="G24" s="23" t="str"/>
      <x:c r="H24" s="23" t="str"/>
      <x:c r="I24" s="44" t="str"/>
      <x:c r="J24" s="23" t="str"/>
      <x:c r="K24" s="23" t="str"/>
      <x:c r="L24" s="23" t="str"/>
    </x:row>
    <x:row r="25">
      <x:c r="A25" s="23" t="str"/>
      <x:c r="B25" s="23" t="str"/>
      <x:c r="C25" s="23" t="str"/>
      <x:c r="D25" s="23" t="str"/>
      <x:c r="E25" s="23" t="str"/>
      <x:c r="F25" s="23" t="str"/>
      <x:c r="G25" s="23" t="str"/>
      <x:c r="H25" s="23" t="str"/>
      <x:c r="I25" s="44" t="str"/>
      <x:c r="J25" s="23" t="str"/>
      <x:c r="K25" s="23" t="str"/>
      <x:c r="L25" s="23" t="str"/>
    </x:row>
    <x:row r="26">
      <x:c r="A26" s="23" t="str"/>
      <x:c r="B26" s="23" t="str"/>
      <x:c r="C26" s="23" t="str"/>
      <x:c r="D26" s="23" t="str"/>
      <x:c r="E26" s="23" t="str"/>
      <x:c r="F26" s="23" t="str"/>
      <x:c r="G26" s="23" t="str"/>
      <x:c r="H26" s="23" t="str"/>
      <x:c r="I26" s="44" t="str"/>
      <x:c r="J26" s="23" t="str"/>
      <x:c r="K26" s="23" t="str"/>
      <x:c r="L26" s="23" t="str"/>
    </x:row>
    <x:row r="27">
      <x:c r="A27" s="23" t="str"/>
      <x:c r="B27" s="23" t="str"/>
      <x:c r="C27" s="23" t="str"/>
      <x:c r="D27" s="23" t="str"/>
      <x:c r="E27" s="23" t="str"/>
      <x:c r="F27" s="23" t="str"/>
      <x:c r="G27" s="23" t="str"/>
      <x:c r="H27" s="23" t="str"/>
      <x:c r="I27" s="44" t="str"/>
      <x:c r="J27" s="23" t="str"/>
      <x:c r="K27" s="23" t="str"/>
      <x:c r="L27" s="23" t="str"/>
    </x:row>
    <x:row r="28">
      <x:c r="A28" s="23" t="str"/>
      <x:c r="B28" s="23" t="str"/>
      <x:c r="C28" s="23" t="str"/>
      <x:c r="D28" s="23" t="str"/>
      <x:c r="E28" s="23" t="str"/>
      <x:c r="F28" s="23" t="str"/>
      <x:c r="G28" s="23" t="str"/>
      <x:c r="H28" s="23" t="str"/>
      <x:c r="I28" s="44" t="str"/>
      <x:c r="J28" s="23" t="str"/>
      <x:c r="K28" s="23" t="str"/>
      <x:c r="L28" s="23" t="str"/>
    </x:row>
    <x:row r="29">
      <x:c r="A29" s="23" t="str"/>
      <x:c r="B29" s="23" t="str"/>
      <x:c r="C29" s="23" t="str"/>
      <x:c r="D29" s="23" t="str"/>
      <x:c r="E29" s="23" t="str"/>
      <x:c r="F29" s="23" t="str"/>
      <x:c r="G29" s="23" t="str"/>
      <x:c r="H29" s="23" t="str"/>
      <x:c r="I29" s="44" t="str"/>
      <x:c r="J29" s="23" t="str"/>
      <x:c r="K29" s="23" t="str"/>
      <x:c r="L29" s="23" t="str"/>
    </x:row>
    <x:row r="30">
      <x:c r="A30" s="23" t="str"/>
      <x:c r="B30" s="23" t="str"/>
      <x:c r="C30" s="23" t="str"/>
      <x:c r="D30" s="23" t="str"/>
      <x:c r="E30" s="23" t="str"/>
      <x:c r="F30" s="23" t="str"/>
      <x:c r="G30" s="23" t="str"/>
      <x:c r="H30" s="23" t="str"/>
      <x:c r="I30" s="44" t="str"/>
      <x:c r="J30" s="23" t="str"/>
      <x:c r="K30" s="23" t="str"/>
      <x:c r="L30" s="23" t="str"/>
    </x:row>
    <x:row r="31">
      <x:c r="A31" s="23" t="str"/>
      <x:c r="B31" s="23" t="str"/>
      <x:c r="C31" s="23" t="str"/>
      <x:c r="D31" s="23" t="str"/>
      <x:c r="E31" s="23" t="str"/>
      <x:c r="F31" s="23" t="str"/>
      <x:c r="G31" s="23" t="str"/>
      <x:c r="H31" s="23" t="str"/>
      <x:c r="I31" s="44" t="str"/>
      <x:c r="J31" s="23" t="str"/>
      <x:c r="K31" s="23" t="str"/>
      <x:c r="L31" s="23" t="str"/>
    </x:row>
    <x:row r="32">
      <x:c r="A32" s="23" t="str"/>
      <x:c r="B32" s="23" t="str"/>
      <x:c r="C32" s="23" t="str"/>
      <x:c r="D32" s="23" t="str"/>
      <x:c r="E32" s="23" t="str"/>
      <x:c r="F32" s="23" t="str"/>
      <x:c r="G32" s="23" t="str"/>
      <x:c r="H32" s="23" t="str"/>
      <x:c r="I32" s="44" t="str"/>
      <x:c r="J32" s="23" t="str"/>
      <x:c r="K32" s="23" t="str"/>
      <x:c r="L32" s="23" t="str"/>
    </x:row>
    <x:row r="33">
      <x:c r="A33" s="23" t="str"/>
      <x:c r="B33" s="23" t="str"/>
      <x:c r="C33" s="23" t="str"/>
      <x:c r="D33" s="23" t="str"/>
      <x:c r="E33" s="23" t="str"/>
      <x:c r="F33" s="23" t="str"/>
      <x:c r="G33" s="23" t="str"/>
      <x:c r="H33" s="23" t="str"/>
      <x:c r="I33" s="44" t="str"/>
      <x:c r="J33" s="23" t="str"/>
      <x:c r="K33" s="23" t="str"/>
      <x:c r="L33" s="23" t="str"/>
    </x:row>
    <x:row r="34">
      <x:c r="A34" s="23" t="str"/>
      <x:c r="B34" s="23" t="str"/>
      <x:c r="C34" s="23" t="str"/>
      <x:c r="D34" s="23" t="str"/>
      <x:c r="E34" s="23" t="str"/>
      <x:c r="F34" s="23" t="str"/>
      <x:c r="G34" s="23" t="str"/>
      <x:c r="H34" s="23" t="str"/>
      <x:c r="I34" s="44" t="str"/>
      <x:c r="J34" s="23" t="str"/>
      <x:c r="K34" s="23" t="str"/>
      <x:c r="L34" s="23" t="str"/>
    </x:row>
    <x:row r="35">
      <x:c r="A35" s="23" t="str"/>
      <x:c r="B35" s="23" t="str"/>
      <x:c r="C35" s="23" t="str"/>
      <x:c r="D35" s="23" t="str"/>
      <x:c r="E35" s="23" t="str"/>
      <x:c r="F35" s="23" t="str"/>
      <x:c r="G35" s="23" t="str"/>
      <x:c r="H35" s="23" t="str"/>
      <x:c r="I35" s="44" t="str"/>
      <x:c r="J35" s="23" t="str"/>
      <x:c r="K35" s="23" t="str"/>
      <x:c r="L35" s="23" t="str"/>
    </x:row>
    <x:row r="36">
      <x:c r="A36" s="23" t="str"/>
      <x:c r="B36" s="23" t="str"/>
      <x:c r="C36" s="23" t="str"/>
      <x:c r="D36" s="23" t="str"/>
      <x:c r="E36" s="23" t="str"/>
      <x:c r="F36" s="23" t="str"/>
      <x:c r="G36" s="23" t="str"/>
      <x:c r="H36" s="23" t="str"/>
      <x:c r="I36" s="44" t="str"/>
      <x:c r="J36" s="23" t="str"/>
      <x:c r="K36" s="23" t="str"/>
      <x:c r="L36" s="23" t="str"/>
    </x:row>
    <x:row r="37">
      <x:c r="A37" s="23" t="str"/>
      <x:c r="B37" s="23" t="str"/>
      <x:c r="C37" s="23" t="str"/>
      <x:c r="D37" s="23" t="str"/>
      <x:c r="E37" s="23" t="str"/>
      <x:c r="F37" s="23" t="str"/>
      <x:c r="G37" s="23" t="str"/>
      <x:c r="H37" s="23" t="str"/>
      <x:c r="I37" s="44" t="str"/>
      <x:c r="J37" s="23" t="str"/>
      <x:c r="K37" s="23" t="str"/>
      <x:c r="L37" s="23" t="str"/>
    </x:row>
    <x:row r="38">
      <x:c r="A38" s="23" t="str"/>
      <x:c r="B38" s="23" t="str"/>
      <x:c r="C38" s="23" t="str"/>
      <x:c r="D38" s="23" t="str"/>
      <x:c r="E38" s="23" t="str"/>
      <x:c r="F38" s="23" t="str"/>
      <x:c r="G38" s="23" t="str"/>
      <x:c r="H38" s="23" t="str"/>
      <x:c r="I38" s="44" t="str"/>
      <x:c r="J38" s="23" t="str"/>
      <x:c r="K38" s="23" t="str"/>
      <x:c r="L38" s="23" t="str"/>
    </x:row>
    <x:row r="39">
      <x:c r="A39" s="23" t="str"/>
      <x:c r="B39" s="23" t="str"/>
      <x:c r="C39" s="23" t="str"/>
      <x:c r="D39" s="23" t="str"/>
      <x:c r="E39" s="23" t="str"/>
      <x:c r="F39" s="23" t="str"/>
      <x:c r="G39" s="23" t="str"/>
      <x:c r="H39" s="23" t="str"/>
      <x:c r="I39" s="44" t="str"/>
      <x:c r="J39" s="23" t="str"/>
      <x:c r="K39" s="23" t="str"/>
      <x:c r="L39" s="23" t="str"/>
    </x:row>
    <x:row r="40">
      <x:c r="A40" s="23" t="str"/>
      <x:c r="B40" s="23" t="str"/>
      <x:c r="C40" s="23" t="str"/>
      <x:c r="D40" s="23" t="str"/>
      <x:c r="E40" s="23" t="str"/>
      <x:c r="F40" s="23" t="str"/>
      <x:c r="G40" s="23" t="str"/>
      <x:c r="H40" s="23" t="str"/>
      <x:c r="I40" s="44" t="str"/>
      <x:c r="J40" s="23" t="str"/>
      <x:c r="K40" s="23" t="str"/>
      <x:c r="L40" s="23" t="str"/>
    </x:row>
    <x:row r="41">
      <x:c r="A41" s="23" t="str"/>
      <x:c r="B41" s="23" t="str"/>
      <x:c r="C41" s="23" t="str"/>
      <x:c r="D41" s="23" t="str"/>
      <x:c r="E41" s="23" t="str"/>
      <x:c r="F41" s="23" t="str"/>
      <x:c r="G41" s="23" t="str"/>
      <x:c r="H41" s="23" t="str"/>
      <x:c r="I41" s="44" t="str"/>
      <x:c r="J41" s="23" t="str"/>
      <x:c r="K41" s="23" t="str"/>
      <x:c r="L41" s="23" t="str"/>
    </x:row>
    <x:row r="42">
      <x:c r="A42" s="23" t="str"/>
      <x:c r="B42" s="23" t="str"/>
      <x:c r="C42" s="23" t="str"/>
      <x:c r="D42" s="23" t="str"/>
      <x:c r="E42" s="23" t="str"/>
      <x:c r="F42" s="23" t="str"/>
      <x:c r="G42" s="23" t="str"/>
      <x:c r="H42" s="23" t="str"/>
      <x:c r="I42" s="44" t="str"/>
      <x:c r="J42" s="23" t="str"/>
      <x:c r="K42" s="23" t="str"/>
      <x:c r="L42" s="23" t="str"/>
    </x:row>
    <x:row r="43">
      <x:c r="A43" s="23" t="str"/>
      <x:c r="B43" s="23" t="str"/>
      <x:c r="C43" s="23" t="str"/>
      <x:c r="D43" s="23" t="str"/>
      <x:c r="E43" s="23" t="str"/>
      <x:c r="F43" s="23" t="str"/>
      <x:c r="G43" s="23" t="str"/>
      <x:c r="H43" s="23" t="str"/>
      <x:c r="I43" s="44" t="str"/>
      <x:c r="J43" s="23" t="str"/>
      <x:c r="K43" s="23" t="str"/>
      <x:c r="L43" s="23" t="str"/>
    </x:row>
    <x:row r="44">
      <x:c r="A44" s="23" t="str"/>
      <x:c r="B44" s="23" t="str"/>
      <x:c r="C44" s="23" t="str"/>
      <x:c r="D44" s="23" t="str"/>
      <x:c r="E44" s="23" t="str"/>
      <x:c r="F44" s="23" t="str"/>
      <x:c r="G44" s="23" t="str"/>
      <x:c r="H44" s="23" t="str"/>
      <x:c r="I44" s="44" t="str"/>
      <x:c r="J44" s="23" t="str"/>
      <x:c r="K44" s="23" t="str"/>
      <x:c r="L44" s="23" t="str"/>
    </x:row>
    <x:row r="45">
      <x:c r="A45" s="23" t="str"/>
      <x:c r="B45" s="23" t="str"/>
      <x:c r="C45" s="23" t="str"/>
      <x:c r="D45" s="23" t="str"/>
      <x:c r="E45" s="23" t="str"/>
      <x:c r="F45" s="23" t="str"/>
      <x:c r="G45" s="23" t="str"/>
      <x:c r="H45" s="23" t="str"/>
      <x:c r="I45" s="44" t="str"/>
      <x:c r="J45" s="23" t="str"/>
      <x:c r="K45" s="23" t="str"/>
      <x:c r="L45" s="23" t="str"/>
    </x:row>
    <x:row r="46">
      <x:c r="A46" s="23" t="str"/>
      <x:c r="B46" s="23" t="str"/>
      <x:c r="C46" s="23" t="str"/>
      <x:c r="D46" s="23" t="str"/>
      <x:c r="E46" s="23" t="str"/>
      <x:c r="F46" s="23" t="str"/>
      <x:c r="G46" s="23" t="str"/>
      <x:c r="H46" s="23" t="str"/>
      <x:c r="I46" s="44" t="str"/>
      <x:c r="J46" s="23" t="str"/>
      <x:c r="K46" s="23" t="str"/>
      <x:c r="L46" s="23" t="str"/>
    </x:row>
    <x:row r="47">
      <x:c r="A47" s="23" t="str"/>
      <x:c r="B47" s="23" t="str"/>
      <x:c r="C47" s="23" t="str"/>
      <x:c r="D47" s="23" t="str"/>
      <x:c r="E47" s="23" t="str"/>
      <x:c r="F47" s="23" t="str"/>
      <x:c r="G47" s="23" t="str"/>
      <x:c r="H47" s="23" t="str"/>
      <x:c r="I47" s="44" t="str"/>
      <x:c r="J47" s="23" t="str"/>
      <x:c r="K47" s="23" t="str"/>
      <x:c r="L47" s="23" t="str"/>
    </x:row>
    <x:row r="48">
      <x:c r="A48" s="23" t="str"/>
      <x:c r="B48" s="23" t="str"/>
      <x:c r="C48" s="23" t="str"/>
      <x:c r="D48" s="23" t="str"/>
      <x:c r="E48" s="23" t="str"/>
      <x:c r="F48" s="23" t="str"/>
      <x:c r="G48" s="23" t="str"/>
      <x:c r="H48" s="23" t="str"/>
      <x:c r="I48" s="44" t="str"/>
      <x:c r="J48" s="23" t="str"/>
      <x:c r="K48" s="23" t="str"/>
      <x:c r="L48" s="23" t="str"/>
    </x:row>
    <x:row r="49">
      <x:c r="A49" s="23" t="str"/>
      <x:c r="B49" s="23" t="str"/>
      <x:c r="C49" s="23" t="str"/>
      <x:c r="D49" s="23" t="str"/>
      <x:c r="E49" s="23" t="str"/>
      <x:c r="F49" s="23" t="str"/>
      <x:c r="G49" s="23" t="str"/>
      <x:c r="H49" s="23" t="str"/>
      <x:c r="I49" s="44" t="str"/>
      <x:c r="J49" s="23" t="str"/>
      <x:c r="K49" s="23" t="str"/>
      <x:c r="L49" s="23" t="str"/>
    </x:row>
    <x:row r="50">
      <x:c r="A50" s="23" t="str"/>
      <x:c r="B50" s="23" t="str"/>
      <x:c r="C50" s="23" t="str"/>
      <x:c r="D50" s="23" t="str"/>
      <x:c r="E50" s="23" t="str"/>
      <x:c r="F50" s="23" t="str"/>
      <x:c r="G50" s="23" t="str"/>
      <x:c r="H50" s="23" t="str"/>
      <x:c r="I50" s="44" t="str"/>
      <x:c r="J50" s="23" t="str"/>
      <x:c r="K50" s="23" t="str"/>
      <x:c r="L50" s="23" t="str"/>
    </x:row>
    <x:row r="51">
      <x:c r="A51" s="23" t="str"/>
      <x:c r="B51" s="23" t="str"/>
      <x:c r="C51" s="23" t="str"/>
      <x:c r="D51" s="23" t="str"/>
      <x:c r="E51" s="23" t="str"/>
      <x:c r="F51" s="23" t="str"/>
      <x:c r="G51" s="23" t="str"/>
      <x:c r="H51" s="23" t="str"/>
      <x:c r="I51" s="44" t="str"/>
      <x:c r="J51" s="23" t="str"/>
      <x:c r="K51" s="23" t="str"/>
      <x:c r="L51" s="23" t="str"/>
    </x:row>
    <x:row r="52">
      <x:c r="A52" s="23" t="str"/>
      <x:c r="B52" s="23" t="str"/>
      <x:c r="C52" s="23" t="str"/>
      <x:c r="D52" s="23" t="str"/>
      <x:c r="E52" s="23" t="str"/>
      <x:c r="F52" s="23" t="str"/>
      <x:c r="G52" s="23" t="str"/>
      <x:c r="H52" s="23" t="str"/>
      <x:c r="I52" s="44" t="str"/>
      <x:c r="J52" s="23" t="str"/>
      <x:c r="K52" s="23" t="str"/>
      <x:c r="L52" s="23" t="str"/>
    </x:row>
    <x:row r="53">
      <x:c r="A53" s="23" t="str"/>
      <x:c r="B53" s="23" t="str"/>
      <x:c r="C53" s="23" t="str"/>
      <x:c r="D53" s="23" t="str"/>
      <x:c r="E53" s="23" t="str"/>
      <x:c r="F53" s="23" t="str"/>
      <x:c r="G53" s="23" t="str"/>
      <x:c r="H53" s="23" t="str"/>
      <x:c r="I53" s="44" t="str"/>
      <x:c r="J53" s="23" t="str"/>
      <x:c r="K53" s="23" t="str"/>
      <x:c r="L53" s="23" t="str"/>
    </x:row>
    <x:row r="54">
      <x:c r="A54" s="23" t="str"/>
      <x:c r="B54" s="23" t="str"/>
      <x:c r="C54" s="23" t="str"/>
      <x:c r="D54" s="23" t="str"/>
      <x:c r="E54" s="23" t="str"/>
      <x:c r="F54" s="23" t="str"/>
      <x:c r="G54" s="23" t="str"/>
      <x:c r="H54" s="23" t="str"/>
      <x:c r="I54" s="44" t="str"/>
      <x:c r="J54" s="23" t="str"/>
      <x:c r="K54" s="23" t="str"/>
      <x:c r="L54" s="23" t="str"/>
    </x:row>
    <x:row r="55">
      <x:c r="A55" s="23" t="str"/>
      <x:c r="B55" s="23" t="str"/>
      <x:c r="C55" s="23" t="str"/>
      <x:c r="D55" s="23" t="str"/>
      <x:c r="E55" s="23" t="str"/>
      <x:c r="F55" s="23" t="str"/>
      <x:c r="G55" s="23" t="str"/>
      <x:c r="H55" s="23" t="str"/>
      <x:c r="I55" s="44" t="str"/>
      <x:c r="J55" s="23" t="str"/>
      <x:c r="K55" s="23" t="str"/>
      <x:c r="L55" s="23" t="str"/>
    </x:row>
    <x:row r="56">
      <x:c r="A56" s="23" t="str"/>
      <x:c r="B56" s="23" t="str"/>
      <x:c r="C56" s="23" t="str"/>
      <x:c r="D56" s="23" t="str"/>
      <x:c r="E56" s="23" t="str"/>
      <x:c r="F56" s="23" t="str"/>
      <x:c r="G56" s="23" t="str"/>
      <x:c r="H56" s="23" t="str"/>
      <x:c r="I56" s="44" t="str"/>
      <x:c r="J56" s="23" t="str"/>
      <x:c r="K56" s="23" t="str"/>
      <x:c r="L56" s="23" t="str"/>
    </x:row>
    <x:row r="57">
      <x:c r="A57" s="23" t="str"/>
      <x:c r="B57" s="23" t="str"/>
      <x:c r="C57" s="23" t="str"/>
      <x:c r="D57" s="23" t="str"/>
      <x:c r="E57" s="23" t="str"/>
      <x:c r="F57" s="23" t="str"/>
      <x:c r="G57" s="23" t="str"/>
      <x:c r="H57" s="23" t="str"/>
      <x:c r="I57" s="44" t="str"/>
      <x:c r="J57" s="23" t="str"/>
      <x:c r="K57" s="23" t="str"/>
      <x:c r="L57" s="23" t="str"/>
    </x:row>
    <x:row r="58">
      <x:c r="A58" s="23" t="str"/>
      <x:c r="B58" s="23" t="str"/>
      <x:c r="C58" s="23" t="str"/>
      <x:c r="D58" s="23" t="str"/>
      <x:c r="E58" s="23" t="str"/>
      <x:c r="F58" s="23" t="str"/>
      <x:c r="G58" s="23" t="str"/>
      <x:c r="H58" s="23" t="str"/>
      <x:c r="I58" s="44" t="str"/>
      <x:c r="J58" s="23" t="str"/>
      <x:c r="K58" s="23" t="str"/>
      <x:c r="L58" s="23" t="str"/>
    </x:row>
    <x:row r="59">
      <x:c r="A59" s="23" t="str"/>
      <x:c r="B59" s="23" t="str"/>
      <x:c r="C59" s="23" t="str"/>
      <x:c r="D59" s="23" t="str"/>
      <x:c r="E59" s="23" t="str"/>
      <x:c r="F59" s="23" t="str"/>
      <x:c r="G59" s="23" t="str"/>
      <x:c r="H59" s="23" t="str"/>
      <x:c r="I59" s="44" t="str"/>
      <x:c r="J59" s="23" t="str"/>
      <x:c r="K59" s="23" t="str"/>
      <x:c r="L59" s="23" t="str"/>
    </x:row>
    <x:row r="60">
      <x:c r="A60" s="23" t="str"/>
      <x:c r="B60" s="23" t="str"/>
      <x:c r="C60" s="23" t="str"/>
      <x:c r="D60" s="23" t="str"/>
      <x:c r="E60" s="23" t="str"/>
      <x:c r="F60" s="23" t="str"/>
      <x:c r="G60" s="23" t="str"/>
      <x:c r="H60" s="23" t="str"/>
      <x:c r="I60" s="44" t="str"/>
      <x:c r="J60" s="23" t="str"/>
      <x:c r="K60" s="23" t="str"/>
      <x:c r="L60" s="23" t="str"/>
    </x:row>
    <x:row r="61">
      <x:c r="A61" s="23" t="str"/>
      <x:c r="B61" s="23" t="str"/>
      <x:c r="C61" s="23" t="str"/>
      <x:c r="D61" s="23" t="str"/>
      <x:c r="E61" s="23" t="str"/>
      <x:c r="F61" s="23" t="str"/>
      <x:c r="G61" s="23" t="str"/>
      <x:c r="H61" s="23" t="str"/>
      <x:c r="I61" s="44" t="str"/>
      <x:c r="J61" s="23" t="str"/>
      <x:c r="K61" s="23" t="str"/>
      <x:c r="L61" s="23" t="str"/>
    </x:row>
    <x:row r="62">
      <x:c r="A62" s="23" t="str"/>
      <x:c r="B62" s="23" t="str"/>
      <x:c r="C62" s="23" t="str"/>
      <x:c r="D62" s="23" t="str"/>
      <x:c r="E62" s="23" t="str"/>
      <x:c r="F62" s="23" t="str"/>
      <x:c r="G62" s="23" t="str"/>
      <x:c r="H62" s="23" t="str"/>
      <x:c r="I62" s="44" t="str"/>
      <x:c r="J62" s="23" t="str"/>
      <x:c r="K62" s="23" t="str"/>
      <x:c r="L62" s="23" t="str"/>
    </x:row>
    <x:row r="63">
      <x:c r="A63" s="23" t="str"/>
      <x:c r="B63" s="23" t="str"/>
      <x:c r="C63" s="23" t="str"/>
      <x:c r="D63" s="23" t="str"/>
      <x:c r="E63" s="23" t="str"/>
      <x:c r="F63" s="23" t="str"/>
      <x:c r="G63" s="23" t="str"/>
      <x:c r="H63" s="23" t="str"/>
      <x:c r="I63" s="44" t="str"/>
      <x:c r="J63" s="23" t="str"/>
      <x:c r="K63" s="23" t="str"/>
      <x:c r="L63" s="23" t="str"/>
    </x:row>
    <x:row r="64">
      <x:c r="A64" s="23" t="str"/>
      <x:c r="B64" s="23" t="str"/>
      <x:c r="C64" s="23" t="str"/>
      <x:c r="D64" s="23" t="str"/>
      <x:c r="E64" s="23" t="str"/>
      <x:c r="F64" s="23" t="str"/>
      <x:c r="G64" s="23" t="str"/>
      <x:c r="H64" s="23" t="str"/>
      <x:c r="I64" s="44" t="str"/>
      <x:c r="J64" s="23" t="str"/>
      <x:c r="K64" s="23" t="str"/>
      <x:c r="L64" s="23" t="str"/>
    </x:row>
    <x:row r="65">
      <x:c r="A65" s="23" t="str"/>
      <x:c r="B65" s="23" t="str"/>
      <x:c r="C65" s="23" t="str"/>
      <x:c r="D65" s="23" t="str"/>
      <x:c r="E65" s="23" t="str"/>
      <x:c r="F65" s="23" t="str"/>
      <x:c r="G65" s="23" t="str"/>
      <x:c r="H65" s="23" t="str"/>
      <x:c r="I65" s="44" t="str"/>
      <x:c r="J65" s="23" t="str"/>
      <x:c r="K65" s="23" t="str"/>
      <x:c r="L65" s="23" t="str"/>
    </x:row>
    <x:row r="66">
      <x:c r="A66" s="23" t="str"/>
      <x:c r="B66" s="23" t="str"/>
      <x:c r="C66" s="23" t="str"/>
      <x:c r="D66" s="23" t="str"/>
      <x:c r="E66" s="23" t="str"/>
      <x:c r="F66" s="23" t="str"/>
      <x:c r="G66" s="23" t="str"/>
      <x:c r="H66" s="23" t="str"/>
      <x:c r="I66" s="44" t="str"/>
      <x:c r="J66" s="23" t="str"/>
      <x:c r="K66" s="23" t="str"/>
      <x:c r="L66" s="23" t="str"/>
    </x:row>
    <x:row r="67">
      <x:c r="A67" s="23" t="str"/>
      <x:c r="B67" s="23" t="str"/>
      <x:c r="C67" s="23" t="str"/>
      <x:c r="D67" s="23" t="str"/>
      <x:c r="E67" s="23" t="str"/>
      <x:c r="F67" s="23" t="str"/>
      <x:c r="G67" s="23" t="str"/>
      <x:c r="H67" s="23" t="str"/>
      <x:c r="I67" s="44" t="str"/>
      <x:c r="J67" s="23" t="str"/>
      <x:c r="K67" s="23" t="str"/>
      <x:c r="L67" s="23" t="str"/>
    </x:row>
    <x:row r="68">
      <x:c r="A68" s="23" t="str"/>
      <x:c r="B68" s="23" t="str"/>
      <x:c r="C68" s="23" t="str"/>
      <x:c r="D68" s="23" t="str"/>
      <x:c r="E68" s="23" t="str"/>
      <x:c r="F68" s="23" t="str"/>
      <x:c r="G68" s="23" t="str"/>
      <x:c r="H68" s="23" t="str"/>
      <x:c r="I68" s="44" t="str"/>
      <x:c r="J68" s="23" t="str"/>
      <x:c r="K68" s="23" t="str"/>
      <x:c r="L68" s="23" t="str"/>
    </x:row>
    <x:row r="69">
      <x:c r="A69" s="23" t="str"/>
      <x:c r="B69" s="23" t="str"/>
      <x:c r="C69" s="23" t="str"/>
      <x:c r="D69" s="23" t="str"/>
      <x:c r="E69" s="23" t="str"/>
      <x:c r="F69" s="23" t="str"/>
      <x:c r="G69" s="23" t="str"/>
      <x:c r="H69" s="23" t="str"/>
      <x:c r="I69" s="44" t="str"/>
      <x:c r="J69" s="23" t="str"/>
      <x:c r="K69" s="23" t="str"/>
      <x:c r="L69" s="23" t="str"/>
    </x:row>
    <x:row r="70">
      <x:c r="A70" s="23" t="str"/>
      <x:c r="B70" s="23" t="str"/>
      <x:c r="C70" s="23" t="str"/>
      <x:c r="D70" s="23" t="str"/>
      <x:c r="E70" s="23" t="str"/>
      <x:c r="F70" s="23" t="str"/>
      <x:c r="G70" s="23" t="str"/>
      <x:c r="H70" s="23" t="str"/>
      <x:c r="I70" s="44" t="str"/>
      <x:c r="J70" s="23" t="str"/>
      <x:c r="K70" s="23" t="str"/>
      <x:c r="L70" s="23" t="str"/>
    </x:row>
    <x:row r="71">
      <x:c r="A71" s="23" t="str"/>
      <x:c r="B71" s="23" t="str"/>
      <x:c r="C71" s="23" t="str"/>
      <x:c r="D71" s="23" t="str"/>
      <x:c r="E71" s="23" t="str"/>
      <x:c r="F71" s="23" t="str"/>
      <x:c r="G71" s="23" t="str"/>
      <x:c r="H71" s="23" t="str"/>
      <x:c r="I71" s="44" t="str"/>
      <x:c r="J71" s="23" t="str"/>
      <x:c r="K71" s="23" t="str"/>
      <x:c r="L71" s="23" t="str"/>
    </x:row>
    <x:row r="72">
      <x:c r="A72" s="23" t="str"/>
      <x:c r="B72" s="23" t="str"/>
      <x:c r="C72" s="23" t="str"/>
      <x:c r="D72" s="23" t="str"/>
      <x:c r="E72" s="23" t="str"/>
      <x:c r="F72" s="23" t="str"/>
      <x:c r="G72" s="23" t="str"/>
      <x:c r="H72" s="23" t="str"/>
      <x:c r="I72" s="44" t="str"/>
      <x:c r="J72" s="23" t="str"/>
      <x:c r="K72" s="23" t="str"/>
      <x:c r="L72" s="23" t="str"/>
    </x:row>
    <x:row r="73">
      <x:c r="A73" s="23" t="str"/>
      <x:c r="B73" s="23" t="str"/>
      <x:c r="C73" s="23" t="str"/>
      <x:c r="D73" s="23" t="str"/>
      <x:c r="E73" s="23" t="str"/>
      <x:c r="F73" s="23" t="str"/>
      <x:c r="G73" s="23" t="str"/>
      <x:c r="H73" s="23" t="str"/>
      <x:c r="I73" s="44" t="str"/>
      <x:c r="J73" s="23" t="str"/>
      <x:c r="K73" s="23" t="str"/>
      <x:c r="L73" s="23" t="str"/>
    </x:row>
    <x:row r="74">
      <x:c r="A74" s="23" t="str"/>
      <x:c r="B74" s="23" t="str"/>
      <x:c r="C74" s="23" t="str"/>
      <x:c r="D74" s="23" t="str"/>
      <x:c r="E74" s="23" t="str"/>
      <x:c r="F74" s="23" t="str"/>
      <x:c r="G74" s="23" t="str"/>
      <x:c r="H74" s="23" t="str"/>
      <x:c r="I74" s="44" t="str"/>
      <x:c r="J74" s="23" t="str"/>
      <x:c r="K74" s="23" t="str"/>
      <x:c r="L74" s="23" t="str"/>
    </x:row>
    <x:row r="75">
      <x:c r="A75" s="23" t="str"/>
      <x:c r="B75" s="23" t="str"/>
      <x:c r="C75" s="23" t="str"/>
      <x:c r="D75" s="23" t="str"/>
      <x:c r="E75" s="23" t="str"/>
      <x:c r="F75" s="23" t="str"/>
      <x:c r="G75" s="23" t="str"/>
      <x:c r="H75" s="23" t="str"/>
      <x:c r="I75" s="44" t="str"/>
      <x:c r="J75" s="23" t="str"/>
      <x:c r="K75" s="23" t="str"/>
      <x:c r="L75" s="23" t="str"/>
    </x:row>
    <x:row r="76">
      <x:c r="A76" s="23" t="str"/>
      <x:c r="B76" s="23" t="str"/>
      <x:c r="C76" s="23" t="str"/>
      <x:c r="D76" s="23" t="str"/>
      <x:c r="E76" s="23" t="str"/>
      <x:c r="F76" s="23" t="str"/>
      <x:c r="G76" s="23" t="str"/>
      <x:c r="H76" s="23" t="str"/>
      <x:c r="I76" s="44" t="str"/>
      <x:c r="J76" s="23" t="str"/>
      <x:c r="K76" s="23" t="str"/>
      <x:c r="L76" s="23" t="str"/>
    </x:row>
    <x:row r="77">
      <x:c r="A77" s="23" t="str"/>
      <x:c r="B77" s="23" t="str"/>
      <x:c r="C77" s="23" t="str"/>
      <x:c r="D77" s="23" t="str"/>
      <x:c r="E77" s="23" t="str"/>
      <x:c r="F77" s="23" t="str"/>
      <x:c r="G77" s="23" t="str"/>
      <x:c r="H77" s="23" t="str"/>
      <x:c r="I77" s="44" t="str"/>
      <x:c r="J77" s="23" t="str"/>
      <x:c r="K77" s="23" t="str"/>
      <x:c r="L77" s="23" t="str"/>
    </x:row>
    <x:row r="78">
      <x:c r="A78" s="23" t="str"/>
      <x:c r="B78" s="23" t="str"/>
      <x:c r="C78" s="23" t="str"/>
      <x:c r="D78" s="23" t="str"/>
      <x:c r="E78" s="23" t="str"/>
      <x:c r="F78" s="23" t="str"/>
      <x:c r="G78" s="23" t="str"/>
      <x:c r="H78" s="23" t="str"/>
      <x:c r="I78" s="44" t="str"/>
      <x:c r="J78" s="23" t="str"/>
      <x:c r="K78" s="23" t="str"/>
      <x:c r="L78" s="23" t="str"/>
    </x:row>
    <x:row r="79">
      <x:c r="A79" s="23" t="str"/>
      <x:c r="B79" s="23" t="str"/>
      <x:c r="C79" s="23" t="str"/>
      <x:c r="D79" s="23" t="str"/>
      <x:c r="E79" s="23" t="str"/>
      <x:c r="F79" s="23" t="str"/>
      <x:c r="G79" s="23" t="str"/>
      <x:c r="H79" s="23" t="str"/>
      <x:c r="I79" s="44" t="str"/>
      <x:c r="J79" s="23" t="str"/>
      <x:c r="K79" s="23" t="str"/>
      <x:c r="L79" s="23" t="str"/>
    </x:row>
    <x:row r="80">
      <x:c r="A80" s="23" t="str"/>
      <x:c r="B80" s="23" t="str"/>
      <x:c r="C80" s="23" t="str"/>
      <x:c r="D80" s="23" t="str"/>
      <x:c r="E80" s="23" t="str"/>
      <x:c r="F80" s="23" t="str"/>
      <x:c r="G80" s="23" t="str"/>
      <x:c r="H80" s="23" t="str"/>
      <x:c r="I80" s="44" t="str"/>
      <x:c r="J80" s="23" t="str"/>
      <x:c r="K80" s="23" t="str"/>
      <x:c r="L80" s="23" t="str"/>
    </x:row>
    <x:row r="81">
      <x:c r="A81" s="23" t="str"/>
      <x:c r="B81" s="23" t="str"/>
      <x:c r="C81" s="23" t="str"/>
      <x:c r="D81" s="23" t="str"/>
      <x:c r="E81" s="23" t="str"/>
      <x:c r="F81" s="23" t="str"/>
      <x:c r="G81" s="23" t="str"/>
      <x:c r="H81" s="23" t="str"/>
      <x:c r="I81" s="44" t="str"/>
      <x:c r="J81" s="23" t="str"/>
      <x:c r="K81" s="23" t="str"/>
      <x:c r="L81" s="23" t="str"/>
    </x:row>
    <x:row r="82">
      <x:c r="A82" s="23" t="str"/>
      <x:c r="B82" s="23" t="str"/>
      <x:c r="C82" s="23" t="str"/>
      <x:c r="D82" s="23" t="str"/>
      <x:c r="E82" s="23" t="str"/>
      <x:c r="F82" s="23" t="str"/>
      <x:c r="G82" s="23" t="str"/>
      <x:c r="H82" s="23" t="str"/>
      <x:c r="I82" s="44" t="str"/>
      <x:c r="J82" s="23" t="str"/>
      <x:c r="K82" s="23" t="str"/>
      <x:c r="L82" s="23" t="str"/>
    </x:row>
    <x:row r="83">
      <x:c r="A83" s="23" t="str"/>
      <x:c r="B83" s="23" t="str"/>
      <x:c r="C83" s="23" t="str"/>
      <x:c r="D83" s="23" t="str"/>
      <x:c r="E83" s="23" t="str"/>
      <x:c r="F83" s="23" t="str"/>
      <x:c r="G83" s="23" t="str"/>
      <x:c r="H83" s="23" t="str"/>
      <x:c r="I83" s="44" t="str"/>
      <x:c r="J83" s="23" t="str"/>
      <x:c r="K83" s="23" t="str"/>
      <x:c r="L83" s="23" t="str"/>
    </x:row>
    <x:row r="84">
      <x:c r="A84" s="23" t="str"/>
      <x:c r="B84" s="23" t="str"/>
      <x:c r="C84" s="23" t="str"/>
      <x:c r="D84" s="23" t="str"/>
      <x:c r="E84" s="23" t="str"/>
      <x:c r="F84" s="23" t="str"/>
      <x:c r="G84" s="23" t="str"/>
      <x:c r="H84" s="23" t="str"/>
      <x:c r="I84" s="44" t="str"/>
      <x:c r="J84" s="23" t="str"/>
      <x:c r="K84" s="23" t="str"/>
      <x:c r="L84" s="23" t="str"/>
    </x:row>
    <x:row r="85">
      <x:c r="A85" s="23" t="str"/>
      <x:c r="B85" s="23" t="str"/>
      <x:c r="C85" s="23" t="str"/>
      <x:c r="D85" s="23" t="str"/>
      <x:c r="E85" s="23" t="str"/>
      <x:c r="F85" s="23" t="str"/>
      <x:c r="G85" s="23" t="str"/>
      <x:c r="H85" s="23" t="str"/>
      <x:c r="I85" s="44" t="str"/>
      <x:c r="J85" s="23" t="str"/>
      <x:c r="K85" s="23" t="str"/>
      <x:c r="L85" s="23" t="str"/>
    </x:row>
    <x:row r="86">
      <x:c r="A86" s="23" t="str"/>
      <x:c r="B86" s="23" t="str"/>
      <x:c r="C86" s="23" t="str"/>
      <x:c r="D86" s="23" t="str"/>
      <x:c r="E86" s="23" t="str"/>
      <x:c r="F86" s="23" t="str"/>
      <x:c r="G86" s="23" t="str"/>
      <x:c r="H86" s="23" t="str"/>
      <x:c r="I86" s="44" t="str"/>
      <x:c r="J86" s="23" t="str"/>
      <x:c r="K86" s="23" t="str"/>
      <x:c r="L86" s="23" t="str"/>
    </x:row>
    <x:row r="87">
      <x:c r="A87" s="23" t="str"/>
      <x:c r="B87" s="23" t="str"/>
      <x:c r="C87" s="23" t="str"/>
      <x:c r="D87" s="23" t="str"/>
      <x:c r="E87" s="23" t="str"/>
      <x:c r="F87" s="23" t="str"/>
      <x:c r="G87" s="23" t="str"/>
      <x:c r="H87" s="23" t="str"/>
      <x:c r="I87" s="44" t="str"/>
      <x:c r="J87" s="23" t="str"/>
      <x:c r="K87" s="23" t="str"/>
      <x:c r="L87" s="23" t="str"/>
    </x:row>
    <x:row r="88">
      <x:c r="A88" s="23" t="str"/>
      <x:c r="B88" s="23" t="str"/>
      <x:c r="C88" s="23" t="str"/>
      <x:c r="D88" s="23" t="str"/>
      <x:c r="E88" s="23" t="str"/>
      <x:c r="F88" s="23" t="str"/>
      <x:c r="G88" s="23" t="str"/>
      <x:c r="H88" s="23" t="str"/>
      <x:c r="I88" s="44" t="str"/>
      <x:c r="J88" s="23" t="str"/>
      <x:c r="K88" s="23" t="str"/>
      <x:c r="L88" s="23" t="str"/>
    </x:row>
    <x:row r="89">
      <x:c r="A89" s="23" t="str"/>
      <x:c r="B89" s="23" t="str"/>
      <x:c r="C89" s="23" t="str"/>
      <x:c r="D89" s="23" t="str"/>
      <x:c r="E89" s="23" t="str"/>
      <x:c r="F89" s="23" t="str"/>
      <x:c r="G89" s="23" t="str"/>
      <x:c r="H89" s="23" t="str"/>
      <x:c r="I89" s="44" t="str"/>
      <x:c r="J89" s="23" t="str"/>
      <x:c r="K89" s="23" t="str"/>
      <x:c r="L89" s="23" t="str"/>
    </x:row>
    <x:row r="90">
      <x:c r="A90" s="23" t="str"/>
      <x:c r="B90" s="23" t="str"/>
      <x:c r="C90" s="23" t="str"/>
      <x:c r="D90" s="23" t="str"/>
      <x:c r="E90" s="23" t="str"/>
      <x:c r="F90" s="23" t="str"/>
      <x:c r="G90" s="23" t="str"/>
      <x:c r="H90" s="23" t="str"/>
      <x:c r="I90" s="44" t="str"/>
      <x:c r="J90" s="23" t="str"/>
      <x:c r="K90" s="23" t="str"/>
      <x:c r="L90" s="23" t="str"/>
    </x:row>
    <x:row r="91">
      <x:c r="A91" s="23" t="str"/>
      <x:c r="B91" s="23" t="str"/>
      <x:c r="C91" s="23" t="str"/>
      <x:c r="D91" s="23" t="str"/>
      <x:c r="E91" s="23" t="str"/>
      <x:c r="F91" s="23" t="str"/>
      <x:c r="G91" s="23" t="str"/>
      <x:c r="H91" s="23" t="str"/>
      <x:c r="I91" s="44" t="str"/>
      <x:c r="J91" s="23" t="str"/>
      <x:c r="K91" s="23" t="str"/>
      <x:c r="L91" s="23" t="str"/>
    </x:row>
    <x:row r="92">
      <x:c r="A92" s="23" t="str"/>
      <x:c r="B92" s="23" t="str"/>
      <x:c r="C92" s="23" t="str"/>
      <x:c r="D92" s="23" t="str"/>
      <x:c r="E92" s="23" t="str"/>
      <x:c r="F92" s="23" t="str"/>
      <x:c r="G92" s="23" t="str"/>
      <x:c r="H92" s="23" t="str"/>
      <x:c r="I92" s="44" t="str"/>
      <x:c r="J92" s="23" t="str"/>
      <x:c r="K92" s="23" t="str"/>
      <x:c r="L92" s="23" t="str"/>
    </x:row>
    <x:row r="93">
      <x:c r="A93" s="23" t="str"/>
      <x:c r="B93" s="23" t="str"/>
      <x:c r="C93" s="23" t="str"/>
      <x:c r="D93" s="23" t="str"/>
      <x:c r="E93" s="23" t="str"/>
      <x:c r="F93" s="23" t="str"/>
      <x:c r="G93" s="23" t="str"/>
      <x:c r="H93" s="23" t="str"/>
      <x:c r="I93" s="44" t="str"/>
      <x:c r="J93" s="23" t="str"/>
      <x:c r="K93" s="23" t="str"/>
      <x:c r="L93" s="23" t="str"/>
    </x:row>
    <x:row r="94">
      <x:c r="A94" s="23" t="str"/>
      <x:c r="B94" s="23" t="str"/>
      <x:c r="C94" s="23" t="str"/>
      <x:c r="D94" s="23" t="str"/>
      <x:c r="E94" s="23" t="str"/>
      <x:c r="F94" s="23" t="str"/>
      <x:c r="G94" s="23" t="str"/>
      <x:c r="H94" s="23" t="str"/>
      <x:c r="I94" s="44" t="str"/>
      <x:c r="J94" s="23" t="str"/>
      <x:c r="K94" s="23" t="str"/>
      <x:c r="L94" s="23" t="str"/>
    </x:row>
    <x:row r="95">
      <x:c r="A95" s="23" t="str"/>
      <x:c r="B95" s="23" t="str"/>
      <x:c r="C95" s="23" t="str"/>
      <x:c r="D95" s="23" t="str"/>
      <x:c r="E95" s="23" t="str"/>
      <x:c r="F95" s="23" t="str"/>
      <x:c r="G95" s="23" t="str"/>
      <x:c r="H95" s="23" t="str"/>
      <x:c r="I95" s="44" t="str"/>
      <x:c r="J95" s="23" t="str"/>
      <x:c r="K95" s="23" t="str"/>
      <x:c r="L95" s="23" t="str"/>
    </x:row>
    <x:row r="96">
      <x:c r="A96" s="23" t="str"/>
      <x:c r="B96" s="23" t="str"/>
      <x:c r="C96" s="23" t="str"/>
      <x:c r="D96" s="23" t="str"/>
      <x:c r="E96" s="23" t="str"/>
      <x:c r="F96" s="23" t="str"/>
      <x:c r="G96" s="23" t="str"/>
      <x:c r="H96" s="23" t="str"/>
      <x:c r="I96" s="44" t="str"/>
      <x:c r="J96" s="23" t="str"/>
      <x:c r="K96" s="23" t="str"/>
      <x:c r="L96" s="23" t="str"/>
    </x:row>
    <x:row r="97">
      <x:c r="A97" s="23" t="str"/>
      <x:c r="B97" s="23" t="str"/>
      <x:c r="C97" s="23" t="str"/>
      <x:c r="D97" s="23" t="str"/>
      <x:c r="E97" s="23" t="str"/>
      <x:c r="F97" s="23" t="str"/>
      <x:c r="G97" s="23" t="str"/>
      <x:c r="H97" s="23" t="str"/>
      <x:c r="I97" s="44" t="str"/>
      <x:c r="J97" s="23" t="str"/>
      <x:c r="K97" s="23" t="str"/>
      <x:c r="L97" s="23" t="str"/>
    </x:row>
    <x:row r="98">
      <x:c r="A98" s="23" t="str"/>
      <x:c r="B98" s="23" t="str"/>
      <x:c r="C98" s="23" t="str"/>
      <x:c r="D98" s="23" t="str"/>
      <x:c r="E98" s="23" t="str"/>
      <x:c r="F98" s="23" t="str"/>
      <x:c r="G98" s="23" t="str"/>
      <x:c r="H98" s="23" t="str"/>
      <x:c r="I98" s="44" t="str"/>
      <x:c r="J98" s="23" t="str"/>
      <x:c r="K98" s="23" t="str"/>
      <x:c r="L98" s="23" t="str"/>
    </x:row>
    <x:row r="99">
      <x:c r="A99" s="23" t="str"/>
      <x:c r="B99" s="23" t="str"/>
      <x:c r="C99" s="23" t="str"/>
      <x:c r="D99" s="23" t="str"/>
      <x:c r="E99" s="23" t="str"/>
      <x:c r="F99" s="23" t="str"/>
      <x:c r="G99" s="23" t="str"/>
      <x:c r="H99" s="23" t="str"/>
      <x:c r="I99" s="44" t="str"/>
      <x:c r="J99" s="23" t="str"/>
      <x:c r="K99" s="23" t="str"/>
      <x:c r="L99" s="23" t="str"/>
    </x:row>
    <x:row r="100">
      <x:c r="A100" s="23" t="str"/>
      <x:c r="B100" s="23" t="str"/>
      <x:c r="C100" s="23" t="str"/>
      <x:c r="D100" s="23" t="str"/>
      <x:c r="E100" s="23" t="str"/>
      <x:c r="F100" s="23" t="str"/>
      <x:c r="G100" s="23" t="str"/>
      <x:c r="H100" s="23" t="str"/>
      <x:c r="I100" s="44" t="str"/>
      <x:c r="J100" s="23" t="str"/>
      <x:c r="K100" s="23" t="str"/>
      <x:c r="L100" s="23" t="str"/>
    </x:row>
    <x:row r="101">
      <x:c r="A101" s="23" t="str"/>
      <x:c r="B101" s="23" t="str"/>
      <x:c r="C101" s="23" t="str"/>
      <x:c r="D101" s="23" t="str"/>
      <x:c r="E101" s="23" t="str"/>
      <x:c r="F101" s="23" t="str"/>
      <x:c r="G101" s="23" t="str"/>
      <x:c r="H101" s="23" t="str"/>
      <x:c r="I101" s="44" t="str"/>
      <x:c r="J101" s="23" t="str"/>
      <x:c r="K101" s="23" t="str"/>
      <x:c r="L101" s="23" t="str"/>
    </x:row>
    <x:row r="102">
      <x:c r="A102" s="23" t="str"/>
      <x:c r="B102" s="23" t="str"/>
      <x:c r="C102" s="23" t="str"/>
      <x:c r="D102" s="23" t="str"/>
      <x:c r="E102" s="23" t="str"/>
      <x:c r="F102" s="23" t="str"/>
      <x:c r="G102" s="23" t="str"/>
      <x:c r="H102" s="23" t="str"/>
      <x:c r="I102" s="44" t="str"/>
      <x:c r="J102" s="23" t="str"/>
      <x:c r="K102" s="23" t="str"/>
      <x:c r="L102" s="23" t="str"/>
    </x:row>
    <x:row r="103">
      <x:c r="A103" s="23" t="str"/>
      <x:c r="B103" s="23" t="str"/>
      <x:c r="C103" s="23" t="str"/>
      <x:c r="D103" s="23" t="str"/>
      <x:c r="E103" s="23" t="str"/>
      <x:c r="F103" s="23" t="str"/>
      <x:c r="G103" s="23" t="str"/>
      <x:c r="H103" s="23" t="str"/>
      <x:c r="I103" s="44" t="str"/>
      <x:c r="J103" s="23" t="str"/>
      <x:c r="K103" s="23" t="str"/>
      <x:c r="L103" s="23" t="str"/>
    </x:row>
  </x:sheetData>
  <x:mergeCells>
    <x:mergeCell ref="A1:L1"/>
  </x:mergeCells>
  <x:conditionalFormatting sqref="I4:I103">
    <x:cfRule type="colorScale" priority="1">
      <x:colorScale>
        <x:cfvo type="min"/>
        <x:cfvo type="percentile" val="50"/>
        <x:cfvo type="max"/>
        <x:color rgb="FFFDECEC"/>
        <x:color rgb="FFFFF4B8"/>
        <x:color rgb="FFE8F5E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27cef8f1f7f4cc5"/>
  </x:tableParts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43" hidden="0" customWidth="1"/>
    <x:col min="3" max="3" width="43" hidden="0" customWidth="1"/>
    <x:col min="4" max="4" width="43" hidden="0" customWidth="1"/>
    <x:col min="5" max="5" width="43" hidden="0" customWidth="1"/>
    <x:col min="6" max="6" width="43" hidden="0" customWidth="1"/>
    <x:col min="7" max="7" width="43" hidden="0" customWidth="1"/>
    <x:col min="8" max="8" width="43" hidden="0" customWidth="1"/>
    <x:col min="9" max="9" width="43" hidden="0" customWidth="1"/>
    <x:col min="10" max="10" width="43" hidden="0" customWidth="1"/>
    <x:col min="11" max="11" width="43" hidden="0" customWidth="1"/>
    <x:col min="12" max="12" width="43" hidden="0" customWidth="1"/>
    <x:col min="13" max="13" width="43" hidden="0" customWidth="1"/>
    <x:col min="14" max="14" width="43" hidden="0" customWidth="1"/>
    <x:col min="15" max="15" width="44" hidden="0" customWidth="1"/>
    <x:col min="16" max="16" width="44" hidden="0" customWidth="1"/>
    <x:col min="17" max="17" width="44" hidden="0" customWidth="1"/>
    <x:col min="18" max="18" width="44" hidden="0" customWidth="1"/>
    <x:col min="19" max="19" width="36" hidden="0" customWidth="1"/>
    <x:col min="20" max="20" width="44" hidden="0" customWidth="1"/>
    <x:col min="21" max="21" width="70" hidden="0" customWidth="1"/>
    <x:col min="22" max="22" width="14" hidden="0" customWidth="1"/>
    <x:col min="23" max="23" width="62" hidden="0" customWidth="1"/>
    <x:col min="24" max="24" width="62" hidden="0" customWidth="1"/>
  </x:cols>
  <x:sheetData>
    <x:row r="1" ht="30" customHeight="1">
      <x:c r="A1" s="5" t="str">
        <x:v>Company Deep Research — Stock Deep Research Framework</x:v>
      </x:c>
    </x:row>
    <x:row r="3" ht="32" customHeight="1">
      <x:c r="A3" s="14" t="str">
        <x:v>Ticker</x:v>
      </x:c>
      <x:c r="B3" s="14" t="str">
        <x:v>1. Management</x:v>
      </x:c>
      <x:c r="C3" s="14" t="str">
        <x:v>2. Product / Moat</x:v>
      </x:c>
      <x:c r="D3" s="14" t="str">
        <x:v>3. TAM / Growth Runway</x:v>
      </x:c>
      <x:c r="E3" s="14" t="str">
        <x:v>4. Positive Catalysts</x:v>
      </x:c>
      <x:c r="F3" s="14" t="str">
        <x:v>5. Competitors</x:v>
      </x:c>
      <x:c r="G3" s="14" t="str">
        <x:v>6. Revenue Growth &amp; Margin</x:v>
      </x:c>
      <x:c r="H3" s="14" t="str">
        <x:v>7. Regulation</x:v>
      </x:c>
      <x:c r="I3" s="14" t="str">
        <x:v>8. Narrative &amp; Sentiment</x:v>
      </x:c>
      <x:c r="J3" s="14" t="str">
        <x:v>9. Valuation Effect</x:v>
      </x:c>
      <x:c r="K3" s="14" t="str">
        <x:v>10. Earnings &amp; Macro</x:v>
      </x:c>
      <x:c r="L3" s="14" t="str">
        <x:v>11. Risk Radar</x:v>
      </x:c>
      <x:c r="M3" s="14" t="str">
        <x:v>Investment Thesis</x:v>
      </x:c>
      <x:c r="N3" s="14" t="str">
        <x:v>Bear Thesis</x:v>
      </x:c>
      <x:c r="O3" s="118" t="str">
        <x:v>Team Comment</x:v>
      </x:c>
      <x:c r="P3" s="118" t="str">
        <x:v>What Market Believes</x:v>
      </x:c>
      <x:c r="Q3" s="118" t="str">
        <x:v>What Market Might Be Missing</x:v>
      </x:c>
      <x:c r="R3" s="118" t="str">
        <x:v>Key Variables</x:v>
      </x:c>
      <x:c r="S3" s="118" t="str">
        <x:v>Investor Fit</x:v>
      </x:c>
      <x:c r="T3" s="118" t="str">
        <x:v>5-Minute Summary</x:v>
      </x:c>
      <x:c r="U3" s="118" t="str">
        <x:v>Primary Sources</x:v>
      </x:c>
      <x:c r="V3" s="118" t="str">
        <x:v>Moat: มี/ไม่มี</x:v>
      </x:c>
      <x:c r="W3" s="118" t="str">
        <x:v>เหตุผล Moat</x:v>
      </x:c>
      <x:c r="X3" s="118" t="str">
        <x:v>Industry Comparison / Benchmark</x:v>
      </x:c>
    </x:row>
    <x:row r="4" ht="72" customHeight="1">
      <x:c r="A4" s="26" t="str">
        <x:v>DELTA</x:v>
      </x:c>
      <x:c r="B4" s="26" t="str">
        <x:v>Global Delta ecosystem; strong engineering and manufacturing execution. Minority investors remain exposed to parent-group strategic priorities.</x:v>
      </x:c>
      <x:c r="C4" s="26" t="str">
        <x:v>Power management and electronic components for data center, industrial and EV applications. Engineering know-how, qualification, scale and global customer relationships create a strong moat.</x:v>
      </x:c>
      <x:c r="D4" s="26" t="str">
        <x:v>Structural exposure to AI/data-center power infrastructure, high-efficiency power conversion and EV. Growth runway is strong, but market expectations are already high.</x:v>
      </x:c>
      <x:c r="E4" s="26" t="str">
        <x:v>AI/data-center power demand; margin expansion; regional manufacturing growth; EV and industrial automation.</x:v>
      </x:c>
      <x:c r="F4" s="26" t="str">
        <x:v>Vertiv, Schneider, Eaton and Asian power-supply manufacturers.</x:v>
      </x:c>
      <x:c r="G4" s="26" t="str">
        <x:v>Growth and margin expansion are occurring together; the operating profile is excellent.</x:v>
      </x:c>
      <x:c r="H4" s="26" t="str">
        <x:v>Main risk is global trade/geopolitical policy: tariffs, export controls, local-content rules and supply-chain fragmentation.</x:v>
      </x:c>
      <x:c r="I4" s="26" t="str">
        <x:v>AI infrastructure / data-center power winner; positive sentiment, but the equity story is no longer early-stage.</x:v>
      </x:c>
      <x:c r="J4" s="26" t="str">
        <x:v>Exceptional business quality is offset by an extreme starting multiple. Multiple compression is a material risk.</x:v>
      </x:c>
      <x:c r="K4" s="26" t="str">
        <x:v>1H2026 profit rose sharply YoY. Base case assumes continued earnings growth but lower equity upside because valuation is demanding.</x:v>
      </x:c>
      <x:c r="L4" s="26" t="str">
        <x:v>Valuation; AI capex cycle; customer concentration; FX; geopolitics / supply chain.</x:v>
      </x:c>
      <x:c r="M4" s="26" t="str">
        <x:v>High-quality structural-growth compounder with strong moat and balance sheet.</x:v>
      </x:c>
      <x:c r="N4" s="26" t="str">
        <x:v>Even strong earnings growth may not offset valuation compression if AI expectations normalize.</x:v>
      </x:c>
      <x:c r="O4" s="125" t="str"/>
      <x:c r="P4" s="26" t="str">
        <x:v>AI/data-center demand can sustain premium growth for years.</x:v>
      </x:c>
      <x:c r="Q4" s="26" t="str">
        <x:v>The operating thesis can be right while the stock return disappoints because the entry multiple is extreme.</x:v>
      </x:c>
      <x:c r="R4" s="26" t="str">
        <x:v>AI capex, order growth, gross margin, customer mix, capex and P/E de-rating.</x:v>
      </x:c>
      <x:c r="S4" s="26" t="str">
        <x:v>Growth investor with high tolerance for valuation risk.</x:v>
      </x:c>
      <x:c r="T4" s="26" t="str">
        <x:v>Structural Growth สูงจาก AI/Data Center และ Power Electronics แต่ต้องระวัง Valuation ที่สูงมาก ซึ่งทำให้ Margin of Safety ต่ำ</x:v>
      </x:c>
      <x:c r="U4" s="26" t="str">
        <x:v>https://www.set.or.th/en/market/product/stock/quote/DELTA/factsheet | https://www.set.or.th/en/market/news-and-alert/newsdetails?id=105530200&amp;symbol=DELTA | https://www.deltathailand.com/en/financial-highlights</x:v>
      </x:c>
      <x:c r="V4" s="26" t="str">
        <x:v>มี</x:v>
      </x:c>
      <x:c r="W4" s="26" t="str">
        <x:v>มี Moat จาก Engineering Know-how, Customer Qualification, Scale, ความสัมพันธ์กับลูกค้าระดับโลก และการอยู่ใน Supply Chain ของ Delta Group ซึ่งทำให้การเปลี่ยน Supplier มีต้นทุนและความเสี่ยงต่อผู้ซื้อ</x:v>
      </x:c>
      <x:c r="X4" s="23" t="str">
        <x:v>เปรียบเทียบกับอุตสาหกรรม Electronic Components / Power Electronics โดยเน้น Growth, Margin, ROIC, Balance Sheet และ Valuation เทียบผู้เล่น Global Power Management</x:v>
      </x:c>
    </x:row>
    <x:row r="5" ht="72" customHeight="1">
      <x:c r="A5" s="26" t="str">
        <x:v>PTT</x:v>
      </x:c>
      <x:c r="B5" s="26" t="str">
        <x:v>State-controlled strategic energy company. Access to capital and strategic importance are strengths; minority-shareholder alignment can be affected by policy objectives.</x:v>
      </x:c>
      <x:c r="C5" s="26" t="str">
        <x:v>Integrated energy infrastructure with gas, trading and major listed subsidiaries. Scale, infrastructure and strategic national role create a durable barrier.</x:v>
      </x:c>
      <x:c r="D5" s="26" t="str">
        <x:v>Mature domestic platform. Growth depends on the energy cycle, subsidiaries, infrastructure, portfolio restructuring and new-energy investment.</x:v>
      </x:c>
      <x:c r="E5" s="26" t="str">
        <x:v>Oil/gas cycle; subsidiary recovery; petrochemical/refining normalization; portfolio restructuring; dividends.</x:v>
      </x:c>
      <x:c r="F5" s="26" t="str">
        <x:v>Few true like-for-like peers because PTT is an integrated group; vertical integration and funding access are key advantages.</x:v>
      </x:c>
      <x:c r="G5" s="26" t="str">
        <x:v>Earnings are driven by commodity prices, refining/petrochemical spreads, inventory effects, FX and subsidiary profit.</x:v>
      </x:c>
      <x:c r="H5" s="26" t="str">
        <x:v>Energy-price policy is both a barrier and a risk; policy can shift value among PTT, the state and consumers.</x:v>
      </x:c>
      <x:c r="I5" s="26" t="str">
        <x:v>Cheap integrated energy conglomerate with dividend support and a persistent state/conglomerate discount.</x:v>
      </x:c>
      <x:c r="J5" s="26" t="str">
        <x:v>Low headline multiples and asset backing provide support, but re-rating may remain constrained by policy and conglomerate discount.</x:v>
      </x:c>
      <x:c r="K5" s="26" t="str">
        <x:v>1H2026 attributable profit increased strongly YoY. Macro sensitivity remains tied to oil, gas and downstream spreads.</x:v>
      </x:c>
      <x:c r="L5" s="26" t="str">
        <x:v>Commodity cycle; government policy; petrochemical oversupply; capital allocation; energy transition.</x:v>
      </x:c>
      <x:c r="M5" s="26" t="str">
        <x:v>Value, dividend and asset-backing case with strong funding access.</x:v>
      </x:c>
      <x:c r="N5" s="26" t="str">
        <x:v>Cheap valuation may persist if downstream returns stay weak or state-policy burden rises.</x:v>
      </x:c>
      <x:c r="O5" s="125" t="str"/>
      <x:c r="P5" s="26" t="str">
        <x:v>PTT is mature, cyclical and deserves a state/conglomerate discount.</x:v>
      </x:c>
      <x:c r="Q5" s="26" t="str">
        <x:v>Subsidiary recovery and asset monetization can improve cash returns without requiring a high-growth narrative.</x:v>
      </x:c>
      <x:c r="R5" s="26" t="str">
        <x:v>Oil/gas prices, refining/petrochemical spreads, PTTEP earnings, dividends, capex and policy intervention.</x:v>
      </x:c>
      <x:c r="S5" s="26" t="str">
        <x:v>Value/dividend investor and credit investor.</x:v>
      </x:c>
      <x:c r="T5" s="26" t="str">
        <x:v>จุดเด่นคือ Value, Dividend, Asset Backing และคุณภาพเครดิต ขณะที่ Growth มีลักษณะ Cyclical และขึ้นกับ Commodity/บริษัทย่อย</x:v>
      </x:c>
      <x:c r="U5" s="26" t="str">
        <x:v>https://www.set.or.th/en/market/product/stock/quote/PTT/factsheet | https://www.set.or.th/en/market/news-and-alert/newsdetails?id=106015900&amp;symbol=PTT | https://investor.pttplc.com/en/downloads/financial-statements-mda</x:v>
      </x:c>
      <x:c r="V5" s="26" t="str">
        <x:v>มี</x:v>
      </x:c>
      <x:c r="W5" s="26" t="str">
        <x:v>มี Moat จากโครงสร้างพื้นฐานพลังงานขนาดใหญ่ ระบบท่อและก๊าซ Scale, Vertical Integration และบทบาทเชิงยุทธศาสตร์ของประเทศ ซึ่งสร้าง Barrier to Entry สูง</x:v>
      </x:c>
      <x:c r="X5" s="23" t="str">
        <x:v>เปรียบเทียบกับ Integrated Energy / Oil &amp; Gas peers โดยเน้น EV/EBITDA, P/BV, Dividend, Commodity sensitivity และ Balance Sheet</x:v>
      </x:c>
    </x:row>
    <x:row r="6" ht="72" customHeight="1">
      <x:c r="A6" s="26" t="str">
        <x:v>ADVANC</x:v>
      </x:c>
      <x:c r="B6" s="26" t="str">
        <x:v>Strong historical execution with strategic shareholders GULF and Singtel. Capital discipline and operating track record are key strengths.</x:v>
      </x:c>
      <x:c r="C6" s="26" t="str">
        <x:v>Mobile, fixed broadband, enterprise and digital services. Spectrum, network scale, subscriber base, switching friction and distribution create a strong moat.</x:v>
      </x:c>
      <x:c r="D6" s="26" t="str">
        <x:v>Core mobile is mature, but 5G monetization, broadband, enterprise, cloud, data center, AI and digital-finance optionality extend the growth runway.</x:v>
      </x:c>
      <x:c r="E6" s="26" t="str">
        <x:v>ARPU recovery; rational competition; broadband synergy; enterprise/cloud growth; operating leverage.</x:v>
      </x:c>
      <x:c r="F6" s="26" t="str">
        <x:v>TRUE is the principal direct telecom peer. ADVANC currently has stronger profitability, balance-sheet quality and execution visibility.</x:v>
      </x:c>
      <x:c r="G6" s="26" t="str">
        <x:v>A quality-compounder pattern: moderate service-revenue growth, high margins, disciplined capex and strong cash generation.</x:v>
      </x:c>
      <x:c r="H6" s="26" t="str">
        <x:v>NBTC spectrum, tariff, competition and service-quality regulation are both entry barriers and return-on-capital risks.</x:v>
      </x:c>
      <x:c r="I6" s="26" t="str">
        <x:v>Thai telecom cash-flow compounder; positive sentiment supported by earnings growth and market structure.</x:v>
      </x:c>
      <x:c r="J6" s="26" t="str">
        <x:v>Not cheap, but substantially more reasonable than extreme-growth names. Earnings growth can still drive returns without aggressive re-rating.</x:v>
      </x:c>
      <x:c r="K6" s="26" t="str">
        <x:v>1H2026 attributable profit grew materially YoY. Telecom is relatively defensive, while ARPU and spectrum economics remain key variables.</x:v>
      </x:c>
      <x:c r="L6" s="26" t="str">
        <x:v>Renewed price competition; spectrum cost; capex cycle; regulation; returns on new digital ventures.</x:v>
      </x:c>
      <x:c r="M6" s="26" t="str">
        <x:v>Best balance of quality, moat, growth, cash flow and valuation in Batch 1.</x:v>
      </x:c>
      <x:c r="N6" s="26" t="str">
        <x:v>A return of aggressive price competition or expensive spectrum can reduce ROIC and cash-return capacity.</x:v>
      </x:c>
      <x:c r="O6" s="125" t="str"/>
      <x:c r="P6" s="26" t="str">
        <x:v>Defensive telecom leader with improving earnings.</x:v>
      </x:c>
      <x:c r="Q6" s="26" t="str">
        <x:v>Enterprise/cloud and operating leverage may add more growth than a traditional telecom multiple implies.</x:v>
      </x:c>
      <x:c r="R6" s="26" t="str">
        <x:v>ARPU, churn, service revenue, EBITDA margin, capex, spectrum payments, FCF and dividend payout.</x:v>
      </x:c>
      <x:c r="S6" s="26" t="str">
        <x:v>Core quality/compounder investor and credit investor.</x:v>
      </x:c>
      <x:c r="T6" s="26" t="str">
        <x:v>มี Business Quality, Moat, Cash Flow และ Earnings Visibility แข็งแรง Valuation อยู่ในระดับที่ต้องติดตามเทียบกับ Telecom peers</x:v>
      </x:c>
      <x:c r="U6" s="26" t="str">
        <x:v>https://www.set.or.th/en/market/product/stock/quote/ADVANC/factsheet | https://www.set.or.th/en/market/news-and-alert/newsdetails?id=105664800&amp;symbol=ADVANC | https://investor.ais.co.th/en/document/quarterly-results</x:v>
      </x:c>
      <x:c r="V6" s="26" t="str">
        <x:v>มี</x:v>
      </x:c>
      <x:c r="W6" s="26" t="str">
        <x:v>มี Moat จาก Spectrum, Network Scale, ฐานลูกค้าขนาดใหญ่, Distribution, Switching Friction และโครงสร้างตลาดที่ต้องใช้เงินลงทุนสูง ทำให้ผู้เล่นใหม่เข้ามาแข่งขันได้ยาก</x:v>
      </x:c>
      <x:c r="X6" s="23" t="str">
        <x:v>เปรียบเทียบกับ Telecom peers โดยเน้น ARPU, Churn, EBITDA Margin, Capex/Sales, FCF, Spectrum Cost และ Leverage</x:v>
      </x:c>
    </x:row>
    <x:row r="7" ht="72" customHeight="1">
      <x:c r="A7" s="26" t="str">
        <x:v>GULF</x:v>
      </x:c>
      <x:c r="B7" s="26" t="str">
        <x:v>Founder-led capital allocation with high ownership alignment. Complexity and leverage require close monitoring as the platform expands.</x:v>
      </x:c>
      <x:c r="C7" s="26" t="str">
        <x:v>Energy, infrastructure, telecom exposure through ADVANC, data center/cloud and investments. Ecosystem breadth is difficult for a local peer to replicate.</x:v>
      </x:c>
      <x:c r="D7" s="26" t="str">
        <x:v>Power and infrastructure remain core, while data center/cloud create a new structural growth leg.</x:v>
      </x:c>
      <x:c r="E7" s="26" t="str">
        <x:v>ADVANC earnings; new power capacity; data centers; cloud/AI infrastructure; renewable projects; infrastructure investments.</x:v>
      </x:c>
      <x:c r="F7" s="26" t="str">
        <x:v>Energy peers include GPSC, EGCO, RATCH and BGRIM, but no Thai peer has exactly the same energy-telecom-data ecosystem.</x:v>
      </x:c>
      <x:c r="G7" s="26" t="str">
        <x:v>Core profit and EBITDA are more useful than headline P/E because amalgamation-related one-offs distort reported comparisons.</x:v>
      </x:c>
      <x:c r="H7" s="26" t="str">
        <x:v>Exposed to electricity, PPA, telecom, data/privacy, cloud and digital-finance regulation.</x:v>
      </x:c>
      <x:c r="I7" s="26" t="str">
        <x:v>Thailand infrastructure-tech conglomerate rather than a traditional power stock.</x:v>
      </x:c>
      <x:c r="J7" s="26" t="str">
        <x:v>Headline P/E can be misleading due to amalgamation effects; SOTP is the preferred framework.</x:v>
      </x:c>
      <x:c r="K7" s="26" t="str">
        <x:v>Q2 core profit and EBITDA were strong. Reported YoY net-profit comparisons are distorted by the 2025 amalgamation gain.</x:v>
      </x:c>
      <x:c r="L7" s="26" t="str">
        <x:v>Leverage; execution across multiple businesses; regulation; capital allocation; data-center overbuild.</x:v>
      </x:c>
      <x:c r="M7" s="26" t="str">
        <x:v>High-growth infrastructure platform with strategic telecom and data-center optionality.</x:v>
      </x:c>
      <x:c r="N7" s="26" t="str">
        <x:v>Complexity, leverage and large capital commitments can reduce returns if new projects earn below expected ROIC.</x:v>
      </x:c>
      <x:c r="O7" s="125" t="str"/>
      <x:c r="P7" s="26" t="str">
        <x:v>GULF is evolving into a broad infrastructure holding company.</x:v>
      </x:c>
      <x:c r="Q7" s="26" t="str">
        <x:v>Data-center/cloud economics could become a more meaningful earnings leg than currently assumed.</x:v>
      </x:c>
      <x:c r="R7" s="26" t="str">
        <x:v>Core profit, ADVANC contribution, net debt, project COD, data-center MW contracted, funding cost and SOTP discount.</x:v>
      </x:c>
      <x:c r="S7" s="26" t="str">
        <x:v>Growth/infrastructure investor comfortable with leverage and complexity.</x:v>
      </x:c>
      <x:c r="T7" s="26" t="str">
        <x:v>มี Growth Optionality จาก Energy, ADVANC, Data Center และ Cloud แต่ต้องติดตาม Leverage, Funding Cost และ ROIC ของโครงการใหม่</x:v>
      </x:c>
      <x:c r="U7" s="26" t="str">
        <x:v>https://www.set.or.th/en/market/product/stock/quote/GULF/factsheet | https://www.set.or.th/en/market/news-and-alert/newsdetails?id=105685400&amp;symbol=GULF | https://www.gulf.co.th/en/investor-relations</x:v>
      </x:c>
      <x:c r="V7" s="26" t="str">
        <x:v>มี</x:v>
      </x:c>
      <x:c r="W7" s="26" t="str">
        <x:v>มี Moat จาก Scale, Long-term Infrastructure/PPA assets, ความสามารถเข้าถึงเงินทุนและโครงการขนาดใหญ่ รวมถึง Strategic Ecosystem ใน Energy–Telecom–Data แต่ต้องติดตามว่าการขยายธุรกิจใหม่จะสร้าง ROIC ได้ยั่งยืนเพียงใด</x:v>
      </x:c>
      <x:c r="X7" s="23" t="str">
        <x:v>เปรียบเทียบกับ Energy &amp; Utilities / Infrastructure peers โดยเน้น Core Profit, ROIC, Net Debt, PPA quality, Funding Cost และ SOTP</x:v>
      </x:c>
    </x:row>
    <x:row r="8" ht="72" customHeight="1">
      <x:c r="A8" s="26" t="str">
        <x:v>AOT</x:v>
      </x:c>
      <x:c r="B8" s="26" t="str">
        <x:v>State-controlled airport operator. Strategic infrastructure quality is high, while policy and concession decisions remain important.</x:v>
      </x:c>
      <x:c r="C8" s="26" t="str">
        <x:v>Major Thai airport network with location-based natural-monopoly characteristics, regulated concessions and airline-route network effects.</x:v>
      </x:c>
      <x:c r="D8" s="26" t="str">
        <x:v>Growth linked to international arrivals, airport capacity, commercial revenue, passenger charges and Thailand's hub strategy.</x:v>
      </x:c>
      <x:c r="E8" s="26" t="str">
        <x:v>Tourism recovery; passenger growth; airport capacity expansion; non-aeronautical revenue; concession economics.</x:v>
      </x:c>
      <x:c r="F8" s="26" t="str">
        <x:v>Minimal direct domestic competition for the same locations; competitive benchmark is other regional aviation hubs.</x:v>
      </x:c>
      <x:c r="G8" s="26" t="str">
        <x:v>Passenger growth provides operating leverage, but earnings growth must be judged against a premium starting valuation.</x:v>
      </x:c>
      <x:c r="H8" s="26" t="str">
        <x:v>Passenger charges, concessions, airport fees, capacity investment and commercial contracts are policy-sensitive.</x:v>
      </x:c>
      <x:c r="I8" s="26" t="str">
        <x:v>Thailand tourism and airport-monopoly proxy.</x:v>
      </x:c>
      <x:c r="J8" s="26" t="str">
        <x:v>The market pays a substantial premium for monopoly quality. Upside requires sustained passenger and commercial growth.</x:v>
      </x:c>
      <x:c r="K8" s="26" t="str">
        <x:v>9M FY2026 profit grew modestly YoY; tourism, airline capacity and concession terms are central drivers.</x:v>
      </x:c>
      <x:c r="L8" s="26" t="str">
        <x:v>Tourism shock; concession/regulatory change; government influence; large capex; valuation.</x:v>
      </x:c>
      <x:c r="M8" s="26" t="str">
        <x:v>One of the strongest moats in SET100 with long-duration aviation infrastructure value.</x:v>
      </x:c>
      <x:c r="N8" s="26" t="str">
        <x:v>Premium valuation can compress if tourism or commercial revenue grows slower than expected.</x:v>
      </x:c>
      <x:c r="O8" s="125" t="str"/>
      <x:c r="P8" s="26" t="str">
        <x:v>AOT deserves a premium as Thailand's airport monopoly and tourism proxy.</x:v>
      </x:c>
      <x:c r="Q8" s="26" t="str">
        <x:v>The moat is exceptional, but high valuation leaves limited room for execution disappointment.</x:v>
      </x:c>
      <x:c r="R8" s="26" t="str">
        <x:v>International passengers, Chinese arrivals, aero/non-aero revenue, concession terms, capex and P/E.</x:v>
      </x:c>
      <x:c r="S8" s="26" t="str">
        <x:v>Quality infrastructure investor willing to pay a premium.</x:v>
      </x:c>
      <x:c r="T8" s="26" t="str">
        <x:v>มี Natural Monopoly Moat ชัดเจนจากสนามบินหลักของประเทศ แต่ราคาหุ้นสะท้อน Premium Valuation และต้องอาศัย Passenger/Commercial Growth ต่อเนื่อง</x:v>
      </x:c>
      <x:c r="U8" s="26" t="str">
        <x:v>https://www.set.or.th/en/market/product/stock/quote/AOT/factsheet | https://www.set.or.th/en/market/news-and-alert/newsdetails?id=106027100&amp;symbol=AOT | https://investor.airportthai.co.th/</x:v>
      </x:c>
      <x:c r="V8" s="26" t="str">
        <x:v>มี</x:v>
      </x:c>
      <x:c r="W8" s="26" t="str">
        <x:v>มี Moat ชัดเจนจาก Location และสิทธิบริหารสนามบินหลักของประเทศ ลักษณะ Natural Monopoly, Regulation และ Network Effect ของสายการบิน ทำให้การสร้างคู่แข่งทดแทนทำได้ยากมาก</x:v>
      </x:c>
      <x:c r="X8" s="23" t="str">
        <x:v>เปรียบเทียบกับ Airport Operators / Transportation Infrastructure peers โดยเน้น Passenger Growth, Aero/Non-aero Revenue, EBITDA Margin, Capex และ Valuation</x:v>
      </x:c>
    </x:row>
    <x:row r="9" ht="72" customHeight="1">
      <x:c r="A9" s="26" t="str">
        <x:v>KTB</x:v>
      </x:c>
      <x:c r="B9" s="26" t="str">
        <x:v>State-linked bank with strong strategic role in public-sector payment/digital infrastructure. Management under Payong Srivanich has improved profitability, efficiency and asset quality while scaling digital ecosystems. Capital allocation is conservative; alignment is strong on stability and dividends, though state-linked objectives can influence strategy.</x:v>
      </x:c>
      <x:c r="C9" s="26" t="str">
        <x:v>Universal bank serving government, corporate, SME and retail customers. Moat comes from government ecosystem integration, Paotang/Krungthai NEXT scale, deposits and nationwide distribution. Moat: มี — especially data/distribution and public-sector rails; durability high while digital engagement stays active.</x:v>
      </x:c>
      <x:c r="D9" s="26" t="str">
        <x:v>Thai banking TAM is mature, so runway comes from fee income, wealth, digital monetization, government-payment ecosystem and selective quality lending rather than rapid loan growth.</x:v>
      </x:c>
      <x:c r="E9" s="26" t="str">
        <x:v>Fee/wealth growth; digital monetization; operating efficiency; lower credit cost; dividend; potential policy-driven transaction volumes. Probability medium-high / impact medium over 6-24 months.</x:v>
      </x:c>
      <x:c r="F9" s="26" t="str">
        <x:v>Compare only with Thai large-bank industry on ROE, NIM, NPL, coverage, CAR and P/BV. Competitive edge is public-sector ecosystem and digital reach; risk is lower pricing flexibility around policy objectives.</x:v>
      </x:c>
      <x:c r="G9" s="26" t="str">
        <x:v>1H26 profit grew 7.6% YoY despite NII pressure. Revenue mix is shifting toward non-interest income while cost/income improved. Margin expansion depends more on fees, productivity and credit cost than NIM.</x:v>
      </x:c>
      <x:c r="H9" s="26" t="str">
        <x:v>BOT capital/liquidity/consumer-protection rules and government policy are key. Beginner: regulation limits risk-taking. Technical: it constrains leverage/pricing but raises barriers to entry and supports funding confidence.</x:v>
      </x:c>
      <x:c r="I9" s="26" t="str">
        <x:v>Narrative is 'high-quality state-linked bank + digital platform + dividend'. Sentiment positive but re-rating has already occurred. Story is middle stage rather than beginning.</x:v>
      </x:c>
      <x:c r="J9" s="26" t="str">
        <x:v>At ~1.3x P/BV and ~11.8x P/E, valuation is no longer deep value. Expected return should come mainly from earnings/dividend; multiple expansion is less likely than earlier in the cycle.</x:v>
      </x:c>
      <x:c r="K9" s="26" t="str">
        <x:v>1H26 NPAT ~THB24.6bn, +7.6% YoY; Q2 NPAT THB12.1bn. NPL 2.92%, coverage 205%, NIM ~2.45%. Low Thai rates pressure NIM, but weak growth also supports benign funding costs. Base: resilient earnings; Bull: fee/credit-cost upside; Bear: NIM/asset-quality pressure.</x:v>
      </x:c>
      <x:c r="L9" s="26" t="str">
        <x:v>Top risks: NIM compression (high probability/medium impact), Thai weak growth and household debt (medium/high), policy influence (medium/medium), credit normalization (medium/high). Monitor NIM, NPL, coverage, fee income and credit cost.</x:v>
      </x:c>
      <x:c r="M9" s="26" t="str">
        <x:v>Strong franchise with public-sector digital ecosystem, improving efficiency and high reserve coverage; attractive for income/quality exposure rather than rapid growth.</x:v>
      </x:c>
      <x:c r="N9" s="26" t="str">
        <x:v>Re-rating has already lifted P/BV; falling rates can compress NIM faster than fees grow, while state-linked objectives may constrain pure shareholder optimization.</x:v>
      </x:c>
      <x:c r="O9" s="131" t="str"/>
      <x:c r="P9" s="26" t="str">
        <x:v>Market sees KTB as a structurally better bank than in the past, with digital reach, improving ROE and strong asset quality.</x:v>
      </x:c>
      <x:c r="Q9" s="26" t="str">
        <x:v>Market may underappreciate monetization of Paotang/public payment rails and fee mix, but may also over-extrapolate recent re-rating.</x:v>
      </x:c>
      <x:c r="R9" s="26" t="str">
        <x:v>NIM, fee growth, cost/income, NPL, coverage, credit cost, ROE, dividend payout, digital active users.</x:v>
      </x:c>
      <x:c r="S9" s="26" t="str">
        <x:v>Income/quality bank investor; suitable for investors comfortable with policy linkage and moderate growth.</x:v>
      </x:c>
      <x:c r="T9" s="26" t="str">
        <x:v>กำไรและคุณภาพสินทรัพย์ดีขึ้นชัด แต่ราคาหุ้นได้ re-rate ไปมากแล้ว จุดต่อไปต้องพิสูจน์ว่า Fee/Digital/Cost Efficiency ชดเชย NIM ขาลงได้ต่อเนื่อง.</x:v>
      </x:c>
      <x:c r="U9" s="26" t="str">
        <x:v>https://www.set.or.th/en/market/product/stock/quote/KTB/factsheet | https://www.set.or.th/th/market/product/stock/quote/KTB/financial-statement/latest/income | https://krungthai.com/en/investor-relations</x:v>
      </x:c>
      <x:c r="V9" s="26" t="str">
        <x:v>มี</x:v>
      </x:c>
      <x:c r="W9" s="26" t="str">
        <x:v>Government ecosystem, Paotang/Krungthai NEXT scale, distribution, deposits and high regulatory barriers create durable customer access and data advantages.</x:v>
      </x:c>
      <x:c r="X9" s="26" t="str">
        <x:v>เทียบกับ Large Thai Banks ด้วย ROE, NIM, NPL, Coverage, CAR, Cost/Income และ P/BV เท่านั้น.</x:v>
      </x:c>
    </x:row>
    <x:row r="10" ht="72" customHeight="1">
      <x:c r="A10" s="26" t="str">
        <x:v>PTTEP</x:v>
      </x:c>
      <x:c r="B10" s="26" t="str">
        <x:v>PTT holds 63.79%, giving strategic alignment with Thailand energy security. CEO Montri Rawanchaikul has E&amp;P technical background and has led production ramp-up plus Malaysia expansion. Management track record is disciplined on upstream execution and dividends; state-linked strategic objectives remain part of the mandate.</x:v>
      </x:c>
      <x:c r="C10" s="26" t="str">
        <x:v>Core upstream oil &amp; gas E&amp;P. Moat: มี — reserves/resources, operating licenses, geological/engineering know-how, scale, long-cycle project capability and access to strategic acreage. Durability high but economics remain commodity-price dependent.</x:v>
      </x:c>
      <x:c r="D10" s="26" t="str">
        <x:v>Runway comes from Thailand gas production, Malaysia and acquired assets. Five-year investment plan 2026-30 is USD33.3bn; company targets volume growth through project development and M&amp;A. TAM is global upstream energy, but capital intensity is high.</x:v>
      </x:c>
      <x:c r="E10" s="26" t="str">
        <x:v>High oil/gas prices; volume growth; SK405B first oil targeted 2028; Malaysia portfolio expansion; new discoveries/M&amp;A; dividends. Near-term oil catalyst high impact but externally driven; project catalysts medium/high over 1-5 years.</x:v>
      </x:c>
      <x:c r="F10" s="26" t="str">
        <x:v>Compare with regional/global E&amp;P peers on reserve life, production growth, unit cost, realized price, FCF, net debt and EV/EBITDA. Competitive edge is Thailand/Malaysia resource position and strong balance sheet.</x:v>
      </x:c>
      <x:c r="G10" s="26" t="str">
        <x:v>1H26 revenue THB176.8bn, sales volume +14% YoY and ASP +10%; operating leverage to commodity prices is strong. Margin expansion is mostly price/mix/volume-driven; cost discipline and reuse initiatives help capex efficiency.</x:v>
      </x:c>
      <x:c r="H10" s="26" t="str">
        <x:v>Petroleum concessions/PSC, royalties, taxes, decommissioning and environmental regulation are central. Regulation is both barrier to entry and cash-flow burden; host-country terms can materially change project NPV.</x:v>
      </x:c>
      <x:c r="I10" s="26" t="str">
        <x:v>Narrative currently benefits from energy security and high oil prices. Sentiment positive, but part of the story is cyclical. With Brent above US$100 amid Middle East disruption, market is pricing a stronger commodity backdrop.</x:v>
      </x:c>
      <x:c r="J10" s="26" t="str">
        <x:v>8.4x P/E and 2.8x EV/EBITDA look low, but normalized valuation should assume lower long-term oil. Multiple expansion is possible only if production growth raises normalized FCF rather than relying on spot oil.</x:v>
      </x:c>
      <x:c r="K10" s="26" t="str">
        <x:v>1H26 NPAT THB39.0bn vs ~THB30.1bn prior year; revenue THB176.8bn; volume 563k BOED. Base: oil normalizes but volume grows; Bull: sustained high oil + project execution; Bear: oil normalization + cost/capex slippage.</x:v>
      </x:c>
      <x:c r="L10" s="26" t="str">
        <x:v>Top risks: oil/gas price (high/high), geopolitics (medium/high), project execution/reserves (medium/high), host-country regulation/tax (medium/medium), energy transition (low-medium/long-term high). Monitor Brent, gas prices, sales volume, unit cost, reserve replacement and capex.</x:v>
      </x:c>
      <x:c r="M10" s="26" t="str">
        <x:v>Strong upstream franchise, low leverage, dividend capacity and visible production growth provide a robust base even if commodity prices normalize.</x:v>
      </x:c>
      <x:c r="N10" s="26" t="str">
        <x:v>Current oil prices are unusually elevated; earnings and valuation can look optically cheap near the top of a commodity cycle. Exploration/project misses can erode reserve replacement.</x:v>
      </x:c>
      <x:c r="O10" s="131" t="str"/>
      <x:c r="P10" s="26" t="str">
        <x:v>Market sees PTTEP as a high-quality oil/gas proxy with strong dividends and direct benefit from energy tightness.</x:v>
      </x:c>
      <x:c r="Q10" s="26" t="str">
        <x:v>Market may underprice the durability of Malaysia/Thailand production growth, but may overprice the persistence of current oil prices.</x:v>
      </x:c>
      <x:c r="R10" s="26" t="str">
        <x:v>Brent/Dubai, realized price, sales volume, unit cost, reserve replacement, capex, new project FID/COD, net debt, dividend.</x:v>
      </x:c>
      <x:c r="S10" s="26" t="str">
        <x:v>Commodity/dividend investor seeking strong balance sheet; must tolerate oil-price volatility.</x:v>
      </x:c>
      <x:c r="T10" s="26" t="str">
        <x:v>ธุรกิจแข็งแรงและงบดุลดีมาก กำไร 1H26 ได้ทั้ง Volume และ Price หนุน แต่ต้องแยก 'คุณภาพบริษัท' ออกจาก 'ราคาน้ำมันที่สูงผิดปกติ' เวลาประเมินมูลค่า.</x:v>
      </x:c>
      <x:c r="U10" s="26" t="str">
        <x:v>https://www.set.or.th/en/market/product/stock/quote/PTTEP/factsheet | https://www.pttep.com/en/newsroom/press-releases/1192/pttep-announces-first-half-performance-of-2026-and-interim-dividend-payment-at-thb-450-per-share | https://www.pttep.com/en/investor-relations/shareholder-information/major-shareholders</x:v>
      </x:c>
      <x:c r="V10" s="26" t="str">
        <x:v>มี</x:v>
      </x:c>
      <x:c r="W10" s="26" t="str">
        <x:v>Resource access, licenses, subsurface/engineering expertise, project scale and strategic domestic position create high entry barriers; commodity exposure limits pricing power.</x:v>
      </x:c>
      <x:c r="X10" s="26" t="str">
        <x:v>เทียบกับ E&amp;P peers ด้วย Production Growth, Reserve Life, Unit Cost, FCF, Net Debt, EV/EBITDA และ Dividend.</x:v>
      </x:c>
    </x:row>
    <x:row r="11" ht="72" customHeight="1">
      <x:c r="A11" s="26" t="str">
        <x:v>KBANK</x:v>
      </x:c>
      <x:c r="B11" s="26" t="str">
        <x:v>CEO Kattiya Indaravijaya has led a quality-over-volume strategy focused on customer economics, productivity and prudent credit. Ownership is widely held/free-float high, reducing controlling-shareholder risk. Capital allocation prioritizes capital strength and risk-adjusted returns.</x:v>
      </x:c>
      <x:c r="C11" s="26" t="str">
        <x:v>Universal bank with strong SME/corporate/retail, K PLUS, wealth, payments and regional network. Moat: มี — customer data, K PLUS ecosystem, deposit franchise, SME relationships, brand and regulatory barriers. Durability high if digital engagement translates into fee income and risk selection.</x:v>
      </x:c>
      <x:c r="D11" s="26" t="str">
        <x:v>Thai loan TAM is mature; growth runway comes from wealth, payments, cross-border, digital engagement and selective secured/high-quality lending. 2026 loan target only 0-2%, signaling value over volume.</x:v>
      </x:c>
      <x:c r="E11" s="26" t="str">
        <x:v>Wealth fee growth; productivity/AI; lower operating cost; quality lending; capital return; asset-quality improvement. Probability high / impact medium over 6-24 months.</x:v>
      </x:c>
      <x:c r="F11" s="26" t="str">
        <x:v>Industry comparison only with Thai large banks on NIM, ROE, NPL, coverage, CAR, fee growth and P/BV. KBank's strengths are digital/SME/customer analytics; risk is SME/retail credit sensitivity.</x:v>
      </x:c>
      <x:c r="G11" s="26" t="str">
        <x:v>1H26 NPAT THB27.9bn +6.2% YoY; underlying ex-one-off growth only ~1.3%. NIM fell to 2.91% but non-interest income and lower opex offset pressure. Margin story is productivity + fees rather than NIM expansion.</x:v>
      </x:c>
      <x:c r="H11" s="26" t="str">
        <x:v>BOT capital, responsible lending, cyber/data/privacy and consumer rules are key. Regulation raises fixed costs and constrains loan pricing but protects incumbents and deposit confidence.</x:v>
      </x:c>
      <x:c r="I11" s="26" t="str">
        <x:v>Narrative is 'high-quality digital bank + improving efficiency' rather than aggressive loan growth. Sentiment positive/neutral; story is middle stage and increasingly depends on sustainable ROE.</x:v>
      </x:c>
      <x:c r="J11" s="26" t="str">
        <x:v>235 baht, ~10.8x P/E, ~0.96x P/BV. Around book value is reasonable for ~9-10% ROE; meaningful re-rating requires sustained ROE above cost of equity and stable asset quality.</x:v>
      </x:c>
      <x:c r="K11" s="26" t="str">
        <x:v>1H26 NPAT THB27.9bn, NIM 2.91%, NPL 3.18%, coverage 173.9%, CAR 19.24%, ROE 9.65%. Base: stable profit with NIM pressure; Bull: wealth/fees/productivity; Bear: credit cost/NIM deterioration.</x:v>
      </x:c>
      <x:c r="L11" s="26" t="str">
        <x:v>Top risks: NIM compression (high/medium), SME/retail asset quality (medium/high), weak domestic growth (medium/high), cyber/digital risk (low-medium/high), fee-market sensitivity (medium/medium). Monitor NIM, NPL, credit cost, coverage, fee income, ROE, CAR.</x:v>
      </x:c>
      <x:c r="M11" s="26" t="str">
        <x:v>Strong digital/customer franchise, high capital and disciplined risk management give resilience; current valuation is reasonable for a quality bank.</x:v>
      </x:c>
      <x:c r="N11" s="26" t="str">
        <x:v>Underlying profit growth is modest after stripping one-off income; weak economy and rate cuts can limit ROE improvement, especially if SME credit worsens.</x:v>
      </x:c>
      <x:c r="O11" s="131" t="str"/>
      <x:c r="P11" s="26" t="str">
        <x:v>Market sees KBank as a digital leader with improving cost efficiency and strong capital, but still exposed to Thailand/SME cycle.</x:v>
      </x:c>
      <x:c r="Q11" s="26" t="str">
        <x:v>Market may underappreciate long-term wealth/payment monetization and AI productivity, while underestimating NIM and SME-credit drag.</x:v>
      </x:c>
      <x:c r="R11" s="26" t="str">
        <x:v>NIM, credit cost, NPL, coverage, ROE, CAR, fee/wealth income, loan mix, K PLUS engagement.</x:v>
      </x:c>
      <x:c r="S11" s="26" t="str">
        <x:v>Core bank investor seeking digital franchise + capital strength; moderate cyclical risk.</x:v>
      </x:c>
      <x:c r="T11" s="26" t="str">
        <x:v>ภาพรวมคือ 'คุณภาพดีขึ้น แต่ไม่ใช่ Growth Bank' — ผลตอบแทนระยะต่อไปขึ้นกับ Fee/Wealth/Productivity และการคุม Credit Cost มากกว่าการเร่งสินเชื่อ.</x:v>
      </x:c>
      <x:c r="U11" s="26" t="str">
        <x:v>https://www.set.or.th/th/market/product/stock/quote/KBANK%20/factsheet | https://www.kasikornbank.com/en/News/Pages/q2_2026.aspx | https://www.kasikornbank.com/en/IR/Pages/home.aspx</x:v>
      </x:c>
      <x:c r="V11" s="26" t="str">
        <x:v>มี</x:v>
      </x:c>
      <x:c r="W11" s="26" t="str">
        <x:v>K PLUS/customer data, SME relationships, deposit franchise, brand and regulation produce durable switching/data/distribution advantages.</x:v>
      </x:c>
      <x:c r="X11" s="26" t="str">
        <x:v>เทียบกับ Large Thai Banks ด้วย ROE, NIM, NPL, Coverage, CAR, Fee Growth, Cost/Income และ P/BV.</x:v>
      </x:c>
    </x:row>
    <x:row r="12" ht="72" customHeight="1">
      <x:c r="A12" s="26" t="str">
        <x:v>SCB</x:v>
      </x:c>
      <x:c r="B12" s="26" t="str">
        <x:v>SCBX is led by CEO Arthid Nanthawithaya; group structure separates core bank, consumer/digital finance and technology/platform businesses. Management has demonstrated cost discipline and active portfolio redesign, but returns from Gen2/Gen3 remain the key proof point.</x:v>
      </x:c>
      <x:c r="C12" s="26" t="str">
        <x:v>Core bank plus CardX, AutoX, InnovestX, SCB 10X, DataX/TechX and BankX optionality. Moat: มี — large customer/deposit base, wealth franchise, data/technology assets and regulatory barriers. Durability high in core bank; digital moat still developing.</x:v>
      </x:c>
      <x:c r="D12" s="26" t="str">
        <x:v>Core banking TAM is mature. Growth runway comes from wealth, fee income, consumer finance normalization and Gen3/BankX technology businesses. BankX can widen addressable digital-finance markets but execution risk is meaningful.</x:v>
      </x:c>
      <x:c r="E12" s="26" t="str">
        <x:v>Wealth fees; trading/investment income normalization; cost control; CardX/AutoX credit normalization; BankX launch/AI capabilities; capital return. Timeline 6-36 months.</x:v>
      </x:c>
      <x:c r="F12" s="26" t="str">
        <x:v>Industry comparison only with Thai large banks on ROE/NIM/NPL/CAR/PBV, while digital subsidiaries should be judged on profitability, CAC, credit loss and unit economics rather than hype.</x:v>
      </x:c>
      <x:c r="G12" s="26" t="str">
        <x:v>2Q26 fee income +14.8% YoY and opex -2.2% helped offset NIM pressure. Margin expansion depends on mix shift toward fee/wealth and better Gen2 economics; core NIM remains pressured by low rates.</x:v>
      </x:c>
      <x:c r="H12" s="26" t="str">
        <x:v>BOT consolidated supervision, capital rules, digital banking approvals, responsible lending, data privacy and cyber regulation are central. Regulation is barrier to entry but can slow innovation/monetization.</x:v>
      </x:c>
      <x:c r="I12" s="26" t="str">
        <x:v>Narrative is 'bank cash cow funding digital optionality'. Sentiment neutral-positive; market gives some credit for optionality but still values SCB mainly as a bank/dividend stock. Story is middle stage.</x:v>
      </x:c>
      <x:c r="J12" s="26" t="str">
        <x:v>At ~1.02x P/BV and 11.3x P/E, valuation is fair for current ROE/profit trend. Re-rating needs visible Gen2/Gen3 profit contribution or stronger sustainable fee growth.</x:v>
      </x:c>
      <x:c r="K12" s="26" t="str">
        <x:v>2Q26 NPAT THB11.1bn, +9% QoQ but -13.1% YoY; 1H26 NPAT THB21.3bn vs THB25.3bn. NPL 3.17%, coverage 158.6%, CAR 18.6%. Base: resilient but slower; Bull: digital/fee upside; Bear: NIM+credit pressure.</x:v>
      </x:c>
      <x:c r="L12" s="26" t="str">
        <x:v>Top risks: NIM compression (high/medium), consumer finance credit losses (medium/high), execution of BankX/digital portfolio (medium/high), macro/household debt (medium/high), regulatory change (medium/medium).</x:v>
      </x:c>
      <x:c r="M12" s="26" t="str">
        <x:v>Core SCB franchise generates cash and capital while wealth/digital initiatives provide optionality; downside is cushioned by capital strength and diversified income.</x:v>
      </x:c>
      <x:c r="N12" s="26" t="str">
        <x:v>Gen2/Gen3 may continue consuming capital without sufficient ROE; falling rates pressure the core earnings engine before new businesses become material.</x:v>
      </x:c>
      <x:c r="O12" s="131" t="str"/>
      <x:c r="P12" s="26" t="str">
        <x:v>Market believes SCBX is a mature bank with attractive dividend plus some fintech optionality, but not yet a proven high-growth tech platform.</x:v>
      </x:c>
      <x:c r="Q12" s="26" t="str">
        <x:v>Market may be missing upside from AI/wealth/BankX if unit economics improve, or may be too generous about timing of digital profitability.</x:v>
      </x:c>
      <x:c r="R12" s="26" t="str">
        <x:v>NIM, fee/wealth income, Gen2 credit cost, NPL/coverage, CAR, BankX milestones, cost/income, dividend payout.</x:v>
      </x:c>
      <x:c r="S12" s="26" t="str">
        <x:v>Income/value bank investor who wants digital optionality but accepts execution risk.</x:v>
      </x:c>
      <x:c r="T12" s="26" t="str">
        <x:v>ฐานธนาคารยังแข็งแรง แต่กำไร 1H26 ลดจากดอกเบี้ยขาลง จุดชี้ขาดคือ Wealth/Fees และ Gen2-Gen3 จะสร้าง ROE เพิ่มได้จริงหรือไม่.</x:v>
      </x:c>
      <x:c r="U12" s="26" t="str">
        <x:v>https://www.set.or.th/en/market/product/stock/quote/SCB/factsheet/ | https://investor.scbx.com/en/newsroom/press-releases/202896/scbx-reports-2q26-net-profit-of-thb-11117-million-up-9-qoq | https://investor.scbx.com/en/resource-center</x:v>
      </x:c>
      <x:c r="V12" s="26" t="str">
        <x:v>มี</x:v>
      </x:c>
      <x:c r="W12" s="26" t="str">
        <x:v>Large customer/deposit base, wealth franchise, data/technology stack and banking regulation create durable core-bank moat; digital moat is not yet fully proven.</x:v>
      </x:c>
      <x:c r="X12" s="26" t="str">
        <x:v>เทียบกับ Large Thai Banks ด้วย ROE, NIM, NPL, Coverage, CAR, Cost/Income, P/BV; digital businessesดู Unit Economics แยก.</x:v>
      </x:c>
    </x:row>
    <x:row r="13" ht="72" customHeight="1">
      <x:c r="A13" s="26" t="str">
        <x:v>TRUE</x:v>
      </x:c>
      <x:c r="B13" s="26" t="str">
        <x:v>Post-merger management has focused on synergy capture, network modernization, cost discipline and deleveraging. Execution has improved materially since 2023. Strategic alignment benefits from large CP Group/Telenor ecosystems, though ownership concentration and capital-intensity require governance monitoring.</x:v>
      </x:c>
      <x:c r="C13" s="26" t="str">
        <x:v>Mobile, broadband, enterprise, TV/content and digital services. Moat: มี — spectrum, nationwide network, subscriber scale, distribution, converged services and high capex/regulatory barriers. Durability high if network quality and pricing discipline are sustained.</x:v>
      </x:c>
      <x:c r="D13" s="26" t="str">
        <x:v>Thai mobile is mature, but growth runway exists in ARPU, 5G monetization, broadband, enterprise/cloud, data/AI services and cross-sell. Biggest value driver is not TAM expansion alone but post-merger unit-economics improvement.</x:v>
      </x:c>
      <x:c r="E13" s="26" t="str">
        <x:v>Synergy realization; network opex/capex efficiency; ARPU/pricing discipline; deleveraging; lower finance cost; enterprise/cloud/AI; dividends. Probability high / impact high over 6-24 months.</x:v>
      </x:c>
      <x:c r="F13" s="26" t="str">
        <x:v>Industry comparison with Thai telecom only: ARPU, churn, service revenue growth, EBITDA margin, capex/sales, spectrum cost, FCF and leverage. TRUE's scale/convergence is strong; balance sheet remains weaker than ideal.</x:v>
      </x:c>
      <x:c r="G13" s="26" t="str">
        <x:v>Q2 service revenue +0.8% YoY while EBITDA +13.5% demonstrates operating leverage. Margin expansion comes from synergy, network consolidation, opex reduction and mix; leverage fell to ~3.7x.</x:v>
      </x:c>
      <x:c r="H13" s="26" t="str">
        <x:v>NBTC spectrum, pricing/competition, service quality, data privacy and telecom infrastructure rules are key. Regulation is a high barrier but spectrum obligations and policy intervention affect cash flow.</x:v>
      </x:c>
      <x:c r="I13" s="26" t="str">
        <x:v>Narrative is 'turnaround to cash-flow compounder' rather than merger clean-up. Sentiment positive but expectations now include continuing synergy and deleveraging. Story is middle stage, not early.</x:v>
      </x:c>
      <x:c r="J13" s="26" t="str">
        <x:v>P/E 23.4x and P/BV 5.5x appear high; EV/EBITDA 7.8x is more relevant. Fair value requires continued EBITDA/FCF growth and falling leverage. Multiple expansion is less likely than earnings-driven return.</x:v>
      </x:c>
      <x:c r="K13" s="26" t="str">
        <x:v>Q2 reported NPAT ~THB6.6bn, service revenue ~THB41.4bn +0.8% YoY, EBITDA +13.5%, capex ~THB4.6bn, leverage 3.7x. Base: synergy + modest revenue growth; Bull: ARPU/enterprise upside; Bear: price war/spectrum/capex.</x:v>
      </x:c>
      <x:c r="L13" s="26" t="str">
        <x:v>Top risks: leverage/refinancing (medium/high), renewed price competition (medium/high), spectrum/capex burden (medium/high), regulation (medium/medium), execution of synergy/network quality (medium/high). Monitor ARPU, churn, service revenue, EBITDA margin, capex, FCF, leverage and interest cost.</x:v>
      </x:c>
      <x:c r="M13" s="26" t="str">
        <x:v>Merger synergies are now visible in EBITDA and profit; network scale and convergence create durable competitive economics if pricing remains rational.</x:v>
      </x:c>
      <x:c r="N13" s="26" t="str">
        <x:v>Valuation already anticipates successful synergy and deleveraging. Revenue growth remains modest, leverage is still material, and renewed competition could reverse margin progress.</x:v>
      </x:c>
      <x:c r="O13" s="131" t="str"/>
      <x:c r="P13" s="26" t="str">
        <x:v>Market believes TRUE has passed the merger pain point and is becoming a higher-margin, cash-generative telecom with improving leverage.</x:v>
      </x:c>
      <x:c r="Q13" s="26" t="str">
        <x:v>Market may underestimate additional synergy/AI efficiency and enterprise monetization, but may also underestimate spectrum/refinancing and competitive risk.</x:v>
      </x:c>
      <x:c r="R13" s="26" t="str">
        <x:v>Mobile ARPU, subscribers/churn, broadband revenue, EBITDA margin, capex, FCF, net debt/EBITDA, financing cost, spectrum payments.</x:v>
      </x:c>
      <x:c r="S13" s="26" t="str">
        <x:v>Turnaround/growth investor comfortable with leverage and execution risk; also increasingly relevant to credit investors as leverage falls.</x:v>
      </x:c>
      <x:c r="T13" s="26" t="str">
        <x:v>TRUE เปลี่ยนจาก 'เรื่องควบรวม' เป็น 'เรื่อง Margin + FCF + Deleveraging' แล้ว จุดสำคัญคือรายได้โตไม่มาก แต่ EBITDA โตแรงจาก Synergy; ราคาปัจจุบันต้องการให้การปรับดีขึ้นดำเนินต่อ.</x:v>
      </x:c>
      <x:c r="U13" s="26" t="str">
        <x:v>https://www.set.or.th/en/market/product/stock/quote/TRUE/factsheet | https://www.set.or.th/th/market/news-and-alert/newsdetails?id=105627201&amp;symbol=TRUE | https://investor-th.truecorp.co.th/financials.html</x:v>
      </x:c>
      <x:c r="V13" s="26" t="str">
        <x:v>มี</x:v>
      </x:c>
      <x:c r="W13" s="26" t="str">
        <x:v>Spectrum, nationwide network, subscriber scale, convergence, distribution and regulatory/capital barriers create a durable telecom moat.</x:v>
      </x:c>
      <x:c r="X13" s="26" t="str">
        <x:v>เทียบกับ Telecom peers ด้วย ARPU, Churn, Service Revenue Growth, EBITDA Margin, Capex/Sales, FCF, Spectrum Cost และ Leverage.</x:v>
      </x:c>
    </x:row>
    <x:row r="14" ht="72" customHeight="1">
      <x:c r="A14" s="26" t="str">
        <x:v>CPALL</x:v>
      </x:c>
      <x:c r="B14" s="26" t="str">
        <x:v>CP Group-linked retail platform with long operating history and strong execution in convenience retail. Management has consistently expanded store density, fresh-food mix, digital payments and supply-chain efficiency; capital allocation became more leveraged after CPAXT-related transactions, so deleveraging discipline remains an important shareholder-alignment test.</x:v>
      </x:c>
      <x:c r="C14" s="26" t="str">
        <x:v>7-Eleven Thailand plus support businesses and investment exposure to wholesale/retail. Moat: มี — unmatched store density, brand, daily-use habit, purchasing scale, logistics, distribution, data and franchise ecosystem. Durability high because replication requires nationwide sites, logistics and supplier economics.</x:v>
      </x:c>
      <x:c r="D14" s="26" t="str">
        <x:v>Thailand convenience retail is mature but still offers runway through store additions, higher sales/store, fresh food, ready-to-eat, delivery, health/beauty and digital services. Growth is more about wallet share and density economics than greenfield TAM.</x:v>
      </x:c>
      <x:c r="E14" s="26" t="str">
        <x:v>Same-store sales recovery; higher gross margin mix; private label/fresh food; operating leverage; interest-cost reduction; debt paydown; CPAXT value recovery. Probability medium-high / impact medium-high over 6-24 months.</x:v>
      </x:c>
      <x:c r="F14" s="26" t="str">
        <x:v>Industry comparison only with food/convenience retail on SSSG, sales/sqm, gross margin, store productivity, inventory turns, FCF, leverage and EV/EBITDA. CPALL's density/logistics advantage is structurally stronger than ordinary retailers.</x:v>
      </x:c>
      <x:c r="G14" s="26" t="str">
        <x:v>Q2/26 NPAT THB7.51bn +11% YoY; 1H26 THB16.63bn +15.9%. Earnings growth is faster than topline due mix, scale and operating leverage. Further margin expansion depends on fresh-food mix, cost control and funding cost.</x:v>
      </x:c>
      <x:c r="H14" s="26" t="str">
        <x:v>Retail zoning, food safety, labor, competition, consumer/data privacy and payment regulation matter. Regulation is mostly cost/compliance risk rather than moat, but nationwide operating scale helps absorb fixed compliance cost.</x:v>
      </x:c>
      <x:c r="I14" s="26" t="str">
        <x:v>Narrative is 'defensive compounder at de-rated valuation'. Sentiment is more cautious than in past growth phases because leverage and consumer softness have reduced the old premium. Story is middle-stage recovery rather than early growth.</x:v>
      </x:c>
      <x:c r="J14" s="26" t="str">
        <x:v>At ~12.4x P/E and 10.4x EV/EBITDA, valuation is below the premium historically associated with CPALL. Multiple expansion is possible if leverage and SSSG improve, but earnings growth should remain the primary return driver.</x:v>
      </x:c>
      <x:c r="K14" s="26" t="str">
        <x:v>1H26 NPAT THB16.63bn vs THB14.35bn. Base: moderate SSSG + margin/interest-cost improvement; Bull: consumption recovery + stronger fresh-food mix; Bear: weak consumption + leverage/funding pressure. 3-5y case depends on store economics and deleveraging.</x:v>
      </x:c>
      <x:c r="L14" s="26" t="str">
        <x:v>Top risks: household spending (medium/high), leverage/refinancing (medium/high), wage/opex inflation (medium/medium), CPAXT execution (medium/high), regulatory/competition pressure (low-medium/medium). Monitor SSSG, gross margin, FCF, net debt, interest expense and store productivity.</x:v>
      </x:c>
      <x:c r="M14" s="26" t="str">
        <x:v>Dominant convenience-store moat, recurring daily demand and improving earnings quality provide a strong long-term compounding base, while current valuation is less demanding than historical premium levels.</x:v>
      </x:c>
      <x:c r="N14" s="26" t="str">
        <x:v>High leverage and exposure to Thai consumption can keep valuation depressed; if SSSG slows, fixed-cost leverage can work in reverse and debt reduction may take longer.</x:v>
      </x:c>
      <x:c r="O14" s="132" t="str"/>
      <x:c r="P14" s="26" t="str">
        <x:v>Market believes CPALL remains the dominant Thai convenience retailer but deserves a lower multiple because of leverage and slower consumer growth.</x:v>
      </x:c>
      <x:c r="Q14" s="26" t="str">
        <x:v>Market may be underpricing margin mix, fresh-food economics and balance-sheet repair if earnings compound faster than revenue.</x:v>
      </x:c>
      <x:c r="R14" s="26" t="str">
        <x:v>SSSG, gross margin, new stores, basket size, fresh-food mix, FCF, net debt/EBITDA, interest cost, CPAXT earnings.</x:v>
      </x:c>
      <x:c r="S14" s="26" t="str">
        <x:v>Core compounder / defensive growth investor who accepts leverage but wants recurring consumer demand.</x:v>
      </x:c>
      <x:c r="T14" s="26" t="str">
        <x:v>CPALL ยังมี Moat แข็งมากจาก Density + Logistics + Daily Habit. จุดชี้ขาดไม่ใช่จำนวนร้านอย่างเดียว แต่คือ SSSG, Margin และ Deleveraging; valuation ปัจจุบันไม่ตึงเท่าอดีต.</x:v>
      </x:c>
      <x:c r="U14" s="26" t="str">
        <x:v>https://www.set.or.th/en/market/product/stock/quote/CPALL/factsheet | https://www.set.or.th/en/market/news-and-alert/newsdetails?id=105990300&amp;symbol=CPALL | https://www.cpall.co.th/investor</x:v>
      </x:c>
      <x:c r="V14" s="26" t="str">
        <x:v>มี</x:v>
      </x:c>
      <x:c r="W14" s="26" t="str">
        <x:v>Store density, 7-Eleven brand, purchasing power, logistics, data and customer habit form a network/scale moat that is difficult and expensive to replicate.</x:v>
      </x:c>
      <x:c r="X14" s="26" t="str">
        <x:v>เทียบกับ Convenience/Food Retail peers ด้วย SSSG, Sales/Store, Gross Margin, Inventory Turns, FCF, Leverage และ EV/EBITDA.</x:v>
      </x:c>
    </x:row>
    <x:row r="15" ht="72" customHeight="1">
      <x:c r="A15" s="26" t="str">
        <x:v>BBL</x:v>
      </x:c>
      <x:c r="B15" s="26" t="str">
        <x:v>Family-influenced but professionally managed bank with long conservative underwriting culture and the largest overseas network among Thai banks. Management historically prioritizes capital strength, liquidity and corporate-banking relationships over aggressive short-term ROE maximization.</x:v>
      </x:c>
      <x:c r="C15" s="26" t="str">
        <x:v>Corporate/SME/retail banking plus ASEAN/international network. Moat: มี — large low-cost deposit base, blue-chip corporate relationships, cross-border network, balance-sheet scale and regulatory barriers. Durability high, though digital retail advantage is less distinctive than some peers.</x:v>
      </x:c>
      <x:c r="D15" s="26" t="str">
        <x:v>Thai banking TAM is mature; growth runway is cross-border corporate banking, ASEAN trade/investment, wealth and fee income. Loan growth is less important than maintaining spreads and credit quality through cycles.</x:v>
      </x:c>
      <x:c r="E15" s="26" t="str">
        <x:v>Fee recovery; corporate/FDI loan demand; ASEAN trade finance; benign credit cost; capital return/dividend; potential re-rating from deep P/BV discount. Timeline 6-24 months.</x:v>
      </x:c>
      <x:c r="F15" s="26" t="str">
        <x:v>Compare only with large banks on ROE, NIM, CET1/CAR, NPL, coverage, fee income and P/BV. BBL's edge is corporate/international franchise and capital buffer; weakness is lower structural ROE and retail-digital monetization.</x:v>
      </x:c>
      <x:c r="G15" s="26" t="str">
        <x:v>1H26 NPAT THB20.49bn, down 16.2% YoY as lower rates pressure net interest income. Earnings resilience comes from fee income, treasury and conservative provisioning. Margin expansion is unlikely near term; efficiency and lower credit cost are more relevant.</x:v>
      </x:c>
      <x:c r="H15" s="26" t="str">
        <x:v>BOT capital/liquidity, responsible lending, cross-border regulation, AML and data/cyber requirements are core. High regulation protects incumbent funding franchises but caps leverage and raises compliance cost.</x:v>
      </x:c>
      <x:c r="I15" s="26" t="str">
        <x:v>Narrative is 'deep-value, well-capitalized regional bank'. Sentiment neutral-positive because valuation is low, but earnings momentum is softer in a rate-cut cycle. Story is mature/value rather than growth.</x:v>
      </x:c>
      <x:c r="J15" s="26" t="str">
        <x:v>At ~8.3x P/E and ~0.6x P/BV, valuation is cheap on assets. Re-rating requires sustainable ROE despite lower NIM; dividends and retained book-value growth are central to expected return.</x:v>
      </x:c>
      <x:c r="K15" s="26" t="str">
        <x:v>1H26 NPAT THB20.49bn vs THB24.46bn; Q2 THB9.50bn. Base: lower NIM but stable asset quality; Bull: fee/loan recovery + benign credit cost; Bear: NIM compression + corporate/NPL deterioration.</x:v>
      </x:c>
      <x:c r="L15" s="26" t="str">
        <x:v>Top risks: NIM compression (high/medium), corporate/SME credit cycle (medium/high), overseas/geopolitical exposure (medium/medium), weak domestic loan demand (medium/medium), cyber/regulatory risk (low-medium/high). Monitor NIM, NPL, coverage, CAR/CET1, ROE, fee income and dividend.</x:v>
      </x:c>
      <x:c r="M15" s="26" t="str">
        <x:v>Deep discount to book plus strong capital and corporate/ASEAN franchise create a favorable margin of safety for value/income investors.</x:v>
      </x:c>
      <x:c r="N15" s="26" t="str">
        <x:v>Low P/BV can remain low if sustainable ROE stays below cost of equity; rate cuts and weak loan demand can delay re-rating.</x:v>
      </x:c>
      <x:c r="O15" s="132" t="str"/>
      <x:c r="P15" s="26" t="str">
        <x:v>Market sees BBL as the conservative, well-capitalized Thai bank with lower growth but high balance-sheet resilience.</x:v>
      </x:c>
      <x:c r="Q15" s="26" t="str">
        <x:v>Market may underappreciate ASEAN/corporate franchise optionality and capital return, while correctly discounting structurally lower ROE.</x:v>
      </x:c>
      <x:c r="R15" s="26" t="str">
        <x:v>NIM, loan growth, fee income, NPL, credit cost, coverage, CET1/CAR, ROE, dividend payout.</x:v>
      </x:c>
      <x:c r="S15" s="26" t="str">
        <x:v>Value/income bank investor prioritizing capital strength over growth.</x:v>
      </x:c>
      <x:c r="T15" s="26" t="str">
        <x:v>BBL คือ 'Balance Sheet ก่อน Growth' — ถูกบน P/BV แต่ catalyst ต้องมาจาก ROE/fee/corporate loan และ dividend ไม่ใช่แค่หวัง multiple re-rate.</x:v>
      </x:c>
      <x:c r="U15" s="26" t="str">
        <x:v>https://www.set.or.th/en/market/product/stock/quote/BBL/factsheet | https://www.set.or.th/en/market/news-and-alert/newsdetails?id=106562800&amp;symbol=BBL | https://www.bangkokbank.com/en/Investor-Relations</x:v>
      </x:c>
      <x:c r="V15" s="26" t="str">
        <x:v>มี</x:v>
      </x:c>
      <x:c r="W15" s="26" t="str">
        <x:v>Corporate relationships, deposit base, ASEAN network, balance-sheet scale and banking regulation create durable funding/distribution barriers.</x:v>
      </x:c>
      <x:c r="X15" s="26" t="str">
        <x:v>เทียบกับ Large Thai Banks ด้วย ROE, NIM, NPL, Coverage, CET1/CAR, Fee Income และ P/BV; Debt/EBITDA = N/A.</x:v>
      </x:c>
    </x:row>
    <x:row r="16" ht="72" customHeight="1">
      <x:c r="A16" s="26" t="str">
        <x:v>SCC</x:v>
      </x:c>
      <x:c r="B16" s="26" t="str">
        <x:v>Long-standing industrial holding company with broad operating expertise across cement, chemicals, packaging and distribution. Management has strong project/engineering track record, but recent large-cycle investments raised balance-sheet and capital-allocation scrutiny; asset sales and portfolio discipline are now key.</x:v>
      </x:c>
      <x:c r="C16" s="26" t="str">
        <x:v>Holding company spanning cement/green solutions, smart living/distribution, chemicals, SCGP and SCGD. Moat: มี — brands, distribution, industrial sites, technology/process know-how, scale and ecosystem relationships. Durability varies by segment; chemicals has weaker pricing power than cement/distribution.</x:v>
      </x:c>
      <x:c r="D16" s="26" t="str">
        <x:v>TAM spans ASEAN construction, packaging and petrochemicals. Growth runway comes from regional demand recovery, LSP normalization, high-value-added products, low-carbon cement, packaging and portfolio reshaping rather than one single high-growth market.</x:v>
      </x:c>
      <x:c r="E16" s="26" t="str">
        <x:v>Petrochemical cycle recovery; LSP utilization improvement; asset monetization; Chandra Asri transaction proceeds; cement demand/pricing; cost reduction; deleveraging. Probability mixed / impact high over 6-36 months.</x:v>
      </x:c>
      <x:c r="F16" s="26" t="str">
        <x:v>Use segment-specific industry peers: cement on volume/price/energy cost/EBITDA; chemicals on spreads/utilization; packaging on volume/margin. Group valuation should use SOTP and leverage, not a single P/E.</x:v>
      </x:c>
      <x:c r="G16" s="26" t="str">
        <x:v>Q2/26 reported NPAT THB11.5bn, but headline profit contains transaction/asset effects; normalized earnings are the key signal. Margin recovery depends on chemical spreads, LSP utilization, energy costs and cost reduction.</x:v>
      </x:c>
      <x:c r="H16" s="26" t="str">
        <x:v>Environmental/carbon regulation, industrial permits, energy policy, competition and cross-border investment rules are material. Carbon rules are both risk and opportunity because SCG can monetize low-carbon products if transition investment earns adequate ROIC.</x:v>
      </x:c>
      <x:c r="I16" s="26" t="str">
        <x:v>Narrative shifted from 'quality conglomerate' to 'recovery + balance-sheet repair'. Sentiment improved after asset transactions and better normalized earnings, but chemicals remain the central debate. Story is middle-cycle recovery.</x:v>
      </x:c>
      <x:c r="J16" s="26" t="str">
        <x:v>P/BV ~0.88x provides asset support, while P/E is less useful due cyclical/one-off earnings. SOTP suggests upside if chemicals normalize and debt falls; multiple expansion is conditional on ROIC recovery.</x:v>
      </x:c>
      <x:c r="K16" s="26" t="str">
        <x:v>1H26 NPAT THB17.76bn vs THB18.44bn. Base: gradual chemicals/cement recovery; Bull: spreads + LSP + deleveraging; Bear: prolonged petrochemical oversupply and weak ASEAN demand. 3-5y upside depends on normalized ROIC of major assets.</x:v>
      </x:c>
      <x:c r="L16" s="26" t="str">
        <x:v>Top risks: petrochemical oversupply (high/high), leverage/refinancing (medium-high/high), LSP execution (medium/high), weak construction demand (medium/medium), energy/carbon cost (medium/medium). Monitor spreads, LSP utilization, net debt, EBITDA, FCF, cement price and asset sales.</x:v>
      </x:c>
      <x:c r="M16" s="26" t="str">
        <x:v>Asset base, brands and industrial know-how remain valuable; recovery and deleveraging can unlock value from a sub-book valuation.</x:v>
      </x:c>
      <x:c r="N16" s="26" t="str">
        <x:v>Chemicals can stay structurally oversupplied for years; high capital intensity and leverage can destroy value even if headline asset value looks cheap.</x:v>
      </x:c>
      <x:c r="O16" s="132" t="str"/>
      <x:c r="P16" s="26" t="str">
        <x:v>Market believes SCC is in a cyclical recovery and deleveraging phase, with asset sales reducing balance-sheet stress.</x:v>
      </x:c>
      <x:c r="Q16" s="26" t="str">
        <x:v>Market may underestimate how long petrochemical oversupply can persist, or conversely the earnings torque if LSP and spreads normalize together.</x:v>
      </x:c>
      <x:c r="R16" s="26" t="str">
        <x:v>Chemical spreads, LSP run rate, cement price/volume, SCGP margins, net debt, interest cost, asset monetization, FCF.</x:v>
      </x:c>
      <x:c r="S16" s="26" t="str">
        <x:v>Deep-value/cyclical investor comfortable with conglomerate complexity and commodity risk.</x:v>
      </x:c>
      <x:c r="T16" s="26" t="str">
        <x:v>SCC ตอนนี้ต้องอ่านเป็น 'Recovery + Balance Sheet Repair' มากกว่า Quality Compounder แบบอดีต จุดชี้ขาดคือ Chemicals/LSP และการลดหนี้ ไม่ใช่กำไร headline ที่มี one-off.</x:v>
      </x:c>
      <x:c r="U16" s="26" t="str">
        <x:v>https://www.set.or.th/en/market/product/stock/quote/SCC/factsheet | https://www.set.or.th/en/market/news-and-alert/newsdetails?id=105502000&amp;symbol=SCC | https://www.scg.com/investor-relations</x:v>
      </x:c>
      <x:c r="V16" s="26" t="str">
        <x:v>มี</x:v>
      </x:c>
      <x:c r="W16" s="26" t="str">
        <x:v>Industrial scale, brands, distribution, sites and operating know-how form a moat, but moat strength differs by segment and is weakest in commodity chemicals.</x:v>
      </x:c>
      <x:c r="X16" s="26" t="str">
        <x:v>เทียบแยก Segment: Cement, Chemicals, Packaging; ระดับ Group ใช้ SOTP, ROIC, Net Debt/EBITDA และ FCF.</x:v>
      </x:c>
    </x:row>
    <x:row r="17" ht="72" customHeight="1">
      <x:c r="A17" s="26" t="str">
        <x:v>BDMS</x:v>
      </x:c>
      <x:c r="B17" s="26" t="str">
        <x:v>Founder/family-linked healthcare platform with professional management and long record of network expansion, clinical investment and disciplined capital structure. Governance benefits from strong medical/operational expertise and conservative leverage.</x:v>
      </x:c>
      <x:c r="C17" s="26" t="str">
        <x:v>50+ hospitals across Thailand/Cambodia under Bangkok Hospital, Samitivej, BNH, Phyathai, Paolo and Royal brands plus labs/pharma support. Moat: มี — doctor network, clinical reputation, referral network, geographic density, brand, high fixed investment and licenses. Durability very high.</x:v>
      </x:c>
      <x:c r="D17" s="26" t="str">
        <x:v>Thailand private healthcare TAM grows with aging, chronic disease, higher income, insurance penetration and medical tourism. BDMS can grow via complex-care mix, international patients, wellness/prevention and network utilization rather than hospital count alone.</x:v>
      </x:c>
      <x:c r="E17" s="26" t="str">
        <x:v>International patient recovery; Middle East/CLMV medical tourism; complex-care mix; utilization; pricing; wellness/prevention; operating leverage; dividends. Probability medium-high / impact medium-high over 6-36 months.</x:v>
      </x:c>
      <x:c r="F17" s="26" t="str">
        <x:v>Compare with hospital peers on patient volume, revenue/intensity, EBITDA margin, ROIC, international mix, doctor network, capex and EV/EBITDA. BDMS has exceptional scale/network breadth.</x:v>
      </x:c>
      <x:c r="G17" s="26" t="str">
        <x:v>6M26 operating income THB56.1bn vs THB55.6bn, but NPAT THB7.31bn fell 6.8% YoY and EBITDA margin eased to 23.3%. Growth is currently volume/mix constrained; margin expansion requires higher international/complex-care mix and utilization.</x:v>
      </x:c>
      <x:c r="H17" s="26" t="str">
        <x:v>Hospital licensing, professional standards, insurance/copayment rules, pricing transparency, data privacy and foreign-patient policy matter. Regulation raises entry barriers but can affect reimbursement and patient behavior.</x:v>
      </x:c>
      <x:c r="I17" s="26" t="str">
        <x:v>Narrative is 'defensive healthcare compounder with medical-tourism moat'. Sentiment neutral because business quality remains high while near-term earnings growth slowed. Story is mature compounder, not early-cycle.</x:v>
      </x:c>
      <x:c r="J17" s="26" t="str">
        <x:v>At ~19.7x P/E and ~12.2x EV/EBITDA, valuation is fair-to-premium versus market but supported by superior moat and balance sheet. Re-rating needs earnings growth to reaccelerate; compression risk exists if margins stay soft.</x:v>
      </x:c>
      <x:c r="K17" s="26" t="str">
        <x:v>6M26 NPAT THB7.31bn vs THB7.84bn; Q2 THB3.25bn. Base: gradual patient/mix recovery; Bull: international + complex-care growth; Bear: weak Thai demand/copayment effects + wage/doctor cost. Long term remains tied to aging and medical tourism.</x:v>
      </x:c>
      <x:c r="L17" s="26" t="str">
        <x:v>Top risks: patient volume/mix (medium/high), medical inflation/staff cost (medium/medium), insurance/copayment policy (medium/medium), medical-tourism shocks (low-medium/high), execution of new services/capex (low-medium/medium).</x:v>
      </x:c>
      <x:c r="M17" s="26" t="str">
        <x:v>One of the strongest service moats in Thailand: network, doctors, referral density, trusted brands and conservative leverage support durable compounding.</x:v>
      </x:c>
      <x:c r="N17" s="26" t="str">
        <x:v>Premium valuation can de-rate if earnings remain flat; domestic affordability and insurance changes can slow volume while staff costs remain sticky.</x:v>
      </x:c>
      <x:c r="O17" s="132" t="str"/>
      <x:c r="P17" s="26" t="str">
        <x:v>Market believes BDMS deserves a premium for defensive growth, network moat and medical tourism exposure.</x:v>
      </x:c>
      <x:c r="Q17" s="26" t="str">
        <x:v>Market may underappreciate long-term complex-care/wellness monetization, but near-term margin recovery could take longer than expected.</x:v>
      </x:c>
      <x:c r="R17" s="26" t="str">
        <x:v>Thai/international patient revenue, intensity per visit, EBITDA margin, occupancy/utilization, doctor cost, capex, ROIC, net debt, dividend.</x:v>
      </x:c>
      <x:c r="S17" s="26" t="str">
        <x:v>Quality/defensive growth investor willing to pay a premium for durable healthcare moat.</x:v>
      </x:c>
      <x:c r="T17" s="26" t="str">
        <x:v>BDMS Business Quality ยังสูงมาก แต่ 1H26 แสดงชัดว่า Moat ไม่ได้แปลว่ากำไรต้องโตทุกไตรมาส ตอนนี้ต้องรอ Patient Mix/International/Margin กลับมาเร่งอีกครั้ง.</x:v>
      </x:c>
      <x:c r="U17" s="26" t="str">
        <x:v>https://www.set.or.th/en/market/product/stock/quote/BDMS/factsheet | https://www.set.or.th/en/market/news-and-alert/newsdetails?id=106062400&amp;symbol=BDMS | https://investor.bdms.co.th/en/financial-info/financial-highlights</x:v>
      </x:c>
      <x:c r="V17" s="26" t="str">
        <x:v>มี</x:v>
      </x:c>
      <x:c r="W17" s="26" t="str">
        <x:v>Clinical reputation, doctor/referral network, hospital density, brand and licensing form a durable healthcare network moat.</x:v>
      </x:c>
      <x:c r="X17" s="26" t="str">
        <x:v>เทียบกับ Hospital peers ด้วย Revenue Growth, EBITDA Margin, International Mix, ROIC, Capex, Occupancy/Utilization และ EV/EBITDA.</x:v>
      </x:c>
    </x:row>
    <x:row r="18" ht="72" customHeight="1">
      <x:c r="A18" s="26" t="str">
        <x:v>TTB</x:v>
      </x:c>
      <x:c r="B18" s="26" t="str">
        <x:v>Post-merger bank with ING and Thanachart legacy strengths. Management has focused on balance-sheet optimization, tax-shield realization, digital migration and capital return. Execution has been disciplined; shareholder alignment is supported by dividend/buyback capacity, though growth remains constrained by conservative lending.</x:v>
      </x:c>
      <x:c r="C18" s="26" t="str">
        <x:v>Retail/corporate bank with auto-finance strength, deposit franchise and ttb touch ecosystem. Moat: มี — customer data, auto ecosystem, deposits, distribution and banking regulation. Durability moderate-high; digital advantage is meaningful but not unique.</x:v>
      </x:c>
      <x:c r="D18" s="26" t="str">
        <x:v>Thai banking TAM is mature. Growth runway comes from fee/wealth, insurance, digital cross-sell, better customer economics and selective lending rather than rapid balance-sheet growth.</x:v>
      </x:c>
      <x:c r="E18" s="26" t="str">
        <x:v>Capital return/dividend; tax-shield benefits; fee/wealth growth; digital engagement; lower credit cost; potential asset-quality normalization. Probability medium-high / impact medium over 6-24 months.</x:v>
      </x:c>
      <x:c r="F18" s="26" t="str">
        <x:v>Compare only with Thai banks on ROE, NIM, NPL, coverage, CAR, cost/income, fee income and P/BV. TTB differentiates through auto-finance/customer analytics and merger synergy, but does not have a dominant network moat.</x:v>
      </x:c>
      <x:c r="G18" s="26" t="str">
        <x:v>1H26 NPAT THB10.68bn +5.8% YoY. Earnings resilience comes from cost discipline, tax benefits and credit quality while NIM is pressured by lower rates. Margin expansion is more likely through fee mix/cost than NIM.</x:v>
      </x:c>
      <x:c r="H18" s="26" t="str">
        <x:v>BOT capital/liquidity, responsible lending, auto-loan consumer protection, data/cyber rules and household-debt policy matter. Regulation raises barriers but can constrain pricing and growth.</x:v>
      </x:c>
      <x:c r="I18" s="26" t="str">
        <x:v>Narrative is 'post-merger efficiency + capital return'. Sentiment positive after re-rating; the story has moved from turnaround into execution/harvest phase.</x:v>
      </x:c>
      <x:c r="J18" s="26" t="str">
        <x:v>At ~12.1x P/E and ~1.1x P/BV, valuation is no longer deep value. Further upside needs sustainable ROE, dividend/buyback and fee growth rather than simple multiple normalization.</x:v>
      </x:c>
      <x:c r="K18" s="26" t="str">
        <x:v>1H26 NPAT THB10.68bn vs THB10.10bn; Q2 THB5.51bn. Base: stable earnings despite NIM pressure; Bull: fee/cost/credit upside; Bear: auto-credit deterioration + faster NIM compression.</x:v>
      </x:c>
      <x:c r="L18" s="26" t="str">
        <x:v>Top risks: NIM compression (high/medium), auto/retail credit (medium/high), weak loan growth (high/medium), regulatory/consumer protection (medium/medium), over-distribution of capital (low-medium/medium). Monitor NIM, NPL, credit cost, CAR, ROE, fee income and payout.</x:v>
      </x:c>
      <x:c r="M18" s="26" t="str">
        <x:v>Merger synergies, digital migration and capital return support a resilient bank earnings profile, with asset quality and capital buffers still adequate.</x:v>
      </x:c>
      <x:c r="N18" s="26" t="str">
        <x:v>After strong re-rating, margin of safety is smaller; weak loan demand and falling rates can cap ROE while auto-finance credit remains cyclical.</x:v>
      </x:c>
      <x:c r="O18" s="134"/>
      <x:c r="P18" s="26" t="str">
        <x:v>Market believes TTB has completed most merger cleanup and can monetize efficiency through dividends and steady ROE.</x:v>
      </x:c>
      <x:c r="Q18" s="26" t="str">
        <x:v>Market may underprice long-run customer cross-sell and capital return, but may overestimate the durability of tax-shield-supported earnings.</x:v>
      </x:c>
      <x:c r="R18" s="26" t="str">
        <x:v>NIM, NPL, credit cost, auto NPL, fee income, CAR, ROE, dividend/buyback, active digital users.</x:v>
      </x:c>
      <x:c r="S18" s="26" t="str">
        <x:v>Income/value bank investor prioritizing capital return over high growth.</x:v>
      </x:c>
      <x:c r="T18" s="26" t="str">
        <x:v>TTB เปลี่ยนจาก Turnaround เป็น Harvest Phase มากขึ้นแล้ว จุดสำคัญคือ ROE + Dividend/Buyback + Asset Quality มากกว่า Loan Growth.</x:v>
      </x:c>
      <x:c r="U18" s="26" t="str">
        <x:v>https://www.set.or.th/en/market/product/stock/quote/TTB/factsheet | https://www.set.or.th/en/market/news-and-alert/newsdetails?id=105471300&amp;symbol=TTB | https://www.ttbbank.com/en/ir</x:v>
      </x:c>
      <x:c r="V18" s="26" t="str">
        <x:v>มี</x:v>
      </x:c>
      <x:c r="W18" s="26" t="str">
        <x:v>Deposit/customer base, auto-finance ecosystem, data, digital distribution and banking regulation create durable but not monopoly-like advantages.</x:v>
      </x:c>
      <x:c r="X18" s="26" t="str">
        <x:v>เทียบกับ Large Thai Banks ด้วย ROE, NIM, NPL, Coverage, CAR, Cost/Income, Fee Income และ P/BV; Debt/EBITDA = N/A.</x:v>
      </x:c>
    </x:row>
    <x:row r="19" ht="72" customHeight="1">
      <x:c r="A19" s="26" t="str">
        <x:v>CPN</x:v>
      </x:c>
      <x:c r="B19" s="26" t="str">
        <x:v>Central Group-linked property platform with long track record in mall development, tenant management and mixed-use execution. Management has consistently recycled capital, expanded recurring rental income and maintained disciplined project pipeline.</x:v>
      </x:c>
      <x:c r="C19" s="26" t="str">
        <x:v>45 shopping centers plus community malls, offices, hotels and residential projects. Moat: มี — prime locations, tenant ecosystem, traffic data, brand, scale, development capability and network effects between malls/retailers. Durability high because prime sites are scarce and tenant economics favor high-traffic platforms.</x:v>
      </x:c>
      <x:c r="D19" s="26" t="str">
        <x:v>Thailand retail-property TAM grows through urbanization, tourism, premium mixed-use and regional city consumption. Runway comes from new malls, asset enhancement, hotels, residential and mixed-use ecosystems.</x:v>
      </x:c>
      <x:c r="E19" s="26" t="str">
        <x:v>New/ramped malls; record rental revenue; tenant sales/traffic; mixed-use launches; hotel expansion; residential transfers; efficiency; potential CPNREIT monetization. Probability high / impact medium-high over 6-36 months.</x:v>
      </x:c>
      <x:c r="F19" s="26" t="str">
        <x:v>Compare with mall/property peers on occupancy, rental growth, tenant sales, EBITDA margin, FFO/CF, debt/EBITDA, NAV and ROIC. CPN's mall platform has stronger recurring economics than typical residential developers.</x:v>
      </x:c>
      <x:c r="G19" s="26" t="str">
        <x:v>Q2/26 revenue THB13.1bn +8% YoY and NPAT THB4.75bn +10%. Rental revenue hit another record; rental business was ~88% of total revenue incl. other income. Operating leverage benefits from occupancy and asset ramp-up.</x:v>
      </x:c>
      <x:c r="H19" s="26" t="str">
        <x:v>Zoning, building permits, REIT rules, property tax, environmental requirements and consumer/tenant regulation matter. Entry barriers are high because prime land, permits, financing and tenant relationships are difficult to replicate.</x:v>
      </x:c>
      <x:c r="I19" s="26" t="str">
        <x:v>Narrative is 'recurring-income compounder + mixed-use growth'. Sentiment positive/steady; market recognizes quality, so execution of new projects and rental growth must sustain the premium.</x:v>
      </x:c>
      <x:c r="J19" s="26" t="str">
        <x:v>At ~14x P/E and ~10.7x EV/EBITDA, valuation is fair for a high-quality recurring-income property platform. Multiple expansion is possible but less important than rental/FFO growth and NAV creation.</x:v>
      </x:c>
      <x:c r="K19" s="26" t="str">
        <x:v>1H26 NPAT THB9.72bn +13.9% YoY; Q2 NPAT THB4.75bn +10%. Base: rental growth + project ramp-up; Bull: stronger traffic/tenant sales + asset monetization; Bear: consumption slowdown + capex/interest burden.</x:v>
      </x:c>
      <x:c r="L19" s="26" t="str">
        <x:v>Top risks: consumer/tourism slowdown (medium/high), large capex pipeline (medium/high), interest rates/refinancing (medium/medium), project execution (medium/high), property cycle/competition (medium/medium). Monitor occupancy, rental growth, tenant sales, EBITDA margin, debt/EBITDA, capex and project openings.</x:v>
      </x:c>
      <x:c r="M19" s="26" t="str">
        <x:v>Scarce prime locations, tenant network and recurring rental economics support durable growth; mixed-use expansion adds optionality.</x:v>
      </x:c>
      <x:c r="N19" s="26" t="str">
        <x:v>Large multi-year capex can dilute ROIC if traffic/tenant productivity disappoints; premium quality does not eliminate property-cycle and funding risk.</x:v>
      </x:c>
      <x:c r="O19" s="134"/>
      <x:c r="P19" s="26" t="str">
        <x:v>Market believes CPN is Thailand's premier mall/mixed-use platform with resilient recurring income and strong execution.</x:v>
      </x:c>
      <x:c r="Q19" s="26" t="str">
        <x:v>Market may underprice long-duration NAV creation from mixed-use ecosystems, but may underestimate capex intensity and execution risk.</x:v>
      </x:c>
      <x:c r="R19" s="26" t="str">
        <x:v>Occupancy, same-store rental growth, tenant sales, traffic, new openings, EBITDA margin, debt/EBITDA, capex, CPNREIT transactions.</x:v>
      </x:c>
      <x:c r="S19" s="26" t="str">
        <x:v>Quality infrastructure/property investor seeking recurring income plus growth.</x:v>
      </x:c>
      <x:c r="T19" s="26" t="str">
        <x:v>CPN มี Moat ชัดจาก Location + Tenant Ecosystem + Development Scale. Q2/26 ยังทำ record rental revenue; สิ่งที่ต้องเฝ้าคือ Capex/ROIC ของโครงการใหม่และ Debt/EBITDA.</x:v>
      </x:c>
      <x:c r="U19" s="26" t="str">
        <x:v>https://www.set.or.th/en/market/product/stock/quote/CPN/factsheet | https://www.set.or.th/en/market/news-and-alert/newsdetails?id=105742500&amp;symbol=CPN | https://lssmedia.setlink.set.or.th/2026/6M/CPN-6M69-ListedCompanySnapshot-EN.html</x:v>
      </x:c>
      <x:c r="V19" s="26" t="str">
        <x:v>มี</x:v>
      </x:c>
      <x:c r="W19" s="26" t="str">
        <x:v>Prime locations, tenant ecosystem, brand, traffic data and development scale create strong network/real-estate barriers.</x:v>
      </x:c>
      <x:c r="X19" s="26" t="str">
        <x:v>เทียบกับ Mall/Property peers ด้วย Occupancy, Rental Growth, Tenant Sales, EBITDA Margin, FFO, Debt/EBITDA, NAV และ ROIC.</x:v>
      </x:c>
    </x:row>
    <x:row r="20" ht="72" customHeight="1">
      <x:c r="A20" s="26" t="str">
        <x:v>PTT-controlled chemical flagship with deep engineering and operating expertise. Management is shifting from expansion toward balance-sheet resilience, portfolio optimization and strategic JV options. Capital allocation discipline is critical after a prolonged petrochemical downturn.</x:v>
      </x:c>
      <x:c r="B20" s="26" t="str">
        <x:v>Integrated olefins, aromatics, refinery-linked feedstocks and specialty/green chemicals. Moat: มีบางส่วน — scale, feedstock integration, industrial sites, logistics and technical know-how. Durability moderate because commodity spreads remain exposed to global overcapacity.</x:v>
      </x:c>
      <x:c r="C20" s="26" t="str">
        <x:v>Global petrochemicals TAM is large, but near-term growth runway is constrained by Asian capacity. Value creation comes from portfolio optimization, specialty/low-carbon products and potential strategic JV rather than simple volume growth.</x:v>
      </x:c>
      <x:c r="D20" s="26" t="str">
        <x:v>Strategic JV for olefins/polyolefins; spread recovery; asset monetization; debt reduction; specialty mix; lower feedstock/energy costs. Probability medium / impact high over 12-36 months.</x:v>
      </x:c>
      <x:c r="E20" s="26" t="str">
        <x:v>Compare with Asian/global petrochemical peers on spreads, utilization, cash cost, specialty mix, net debt/EBITDA, ROIC and EV/EBITDA. GC's integration helps cost position but does not eliminate commodity cyclicality.</x:v>
      </x:c>
      <x:c r="F20" s="26" t="str">
        <x:v>Q2/26 revenue THB172.4bn, Adjusted EBITDA THB26.9bn and NPAT THB12.2bn; 1H26 NPAT THB15.4bn vs a loss prior year. Margin recovery is real but still partly cycle/one-off sensitive.</x:v>
      </x:c>
      <x:c r="G20" s="26" t="str">
        <x:v>Environmental/carbon, product safety, refinery/petrochemical permits, trade barriers and Thai energy policy matter. Regulation can raise entry barriers but requires sustained decarbonization capex.</x:v>
      </x:c>
      <x:c r="H20" s="26" t="str">
        <x:v>Narrative is 'petrochemical recovery + portfolio restructuring'. Sentiment improved materially after profit rebound and JV discussion, but the story remains cyclical and execution-sensitive.</x:v>
      </x:c>
      <x:c r="I20" s="26" t="str">
        <x:v>P/BV ~0.77x offers asset support, while P/E is distorted by depressed trailing earnings. EV/EBITDA ~8.9x is not obviously cheap for a cyclical recovery; ROIC and debt reduction are key.</x:v>
      </x:c>
      <x:c r="J20" s="26" t="str">
        <x:v>Base: spreads stay weak but restructuring sustains profit. Bull: JV + spread recovery + specialty mix. Bear: Asia overcapacity persists and leverage consumes FCF. 3-5y value depends on normalized ROIC above cost of capital.</x:v>
      </x:c>
      <x:c r="K20" s="26" t="str">
        <x:v>Top risks: structural overcapacity (high/high), leverage (medium-high/high), JV execution (medium/high), feedstock/energy volatility (medium/medium), carbon capex (medium/medium). Monitor spreads, utilization, adjusted EBITDA, IBD/equity, FCF and asset sales.</x:v>
      </x:c>
      <x:c r="L20" s="26" t="str">
        <x:v>Integrated asset base, scale and balance-sheet repair create recovery potential from a depressed cycle, especially if strategic JV reduces capital intensity.</x:v>
      </x:c>
      <x:c r="M20" s="26" t="str">
        <x:v>Commodity overcapacity may be structural; low P/BV can persist if ROIC remains below cost of capital and restructuring fails to improve cash conversion.</x:v>
      </x:c>
      <x:c r="N20" s="26" t="str"/>
      <x:c r="O20" s="135" t="str">
        <x:v>Market believes PTTGC has moved from loss-making trough toward recovery and is using strategic restructuring to lower capital intensity.</x:v>
      </x:c>
      <x:c r="P20" s="26" t="str">
        <x:v>Market may be missing upside from a well-structured olefins/polyolefins JV, but may still underestimate the duration of Asia petrochemical oversupply.</x:v>
      </x:c>
      <x:c r="Q20" s="26" t="str">
        <x:v>Petrochemical spreads, utilization, adjusted EBITDA, IBD/equity, FCF, JV milestones, specialty contribution, carbon capex.</x:v>
      </x:c>
      <x:c r="R20" s="26" t="str">
        <x:v>Cyclical/value investor comfortable with petrochemical and restructuring risk.</x:v>
      </x:c>
      <x:c r="S20" s="26" t="str">
        <x:v>PTTGC ฟื้นกำไรแรงใน Q2/26 แต่ Thesis ยังไม่ใช่ Growth Story — ต้องพิสูจน์ว่า JV/Portfolio Optimization ช่วยยกระดับ ROIC และลด Capital Intensity ได้จริง.</x:v>
      </x:c>
      <x:c r="T20" s="26" t="str">
        <x:v>https://www.set.or.th/en/market/product/stock/quote/PTTGC/factsheet | https://www.set.or.th/en/market/news-and-alert/newsdetails?id=105704400&amp;symbol=PTTGC | https://www.pttgcgroup.com/en/investor-relations/home</x:v>
      </x:c>
      <x:c r="U20" s="26" t="str">
        <x:v>มีบางส่วน</x:v>
      </x:c>
      <x:c r="V20" s="26" t="str">
        <x:v>Integrated feedstock, industrial scale, sites, logistics and technical know-how create cost/operational advantages, but commodity pricing caps moat strength.</x:v>
      </x:c>
      <x:c r="W20" s="26" t="str">
        <x:v>เทียบกับ Asian/Global Petrochemical peers ด้วย Spread, Utilization, Cash Cost, Specialty Mix, ROIC, Net Debt/EBITDA และ EV/EBITDA.</x:v>
      </x:c>
      <x:c r="X20" s="26"/>
    </x:row>
    <x:row r="21" ht="72" customHeight="1">
      <x:c r="A21" s="26" t="str">
        <x:v>CRC</x:v>
      </x:c>
      <x:c r="B21" s="26" t="str">
        <x:v>Central Group-controlled retailer with professional management and access to a broad consumer/real-estate ecosystem. Capital allocation has become more selective, including portfolio reshaping in Vietnam and targeted partnerships. Alignment is strong on long-term platform expansion, though related-party ecosystem complexity should be monitored.</x:v>
      </x:c>
      <x:c r="C21" s="26" t="str">
        <x:v>Multi-format omnichannel retail across Thailand, Vietnam and Italy with department stores, food, hardline and property-linked formats. Moat: มี — Central brand, locations, supplier scale, loyalty/customer data, omnichannel infrastructure and group ecosystem. Durability high in Thailand; overseas formats vary.</x:v>
      </x:c>
      <x:c r="D21" s="26" t="str">
        <x:v>Runway comes from household consumption, tourism, premiumization, online penetration, food/hardline expansion and regional formats. Growth is diversified by geography and category rather than one TAM.</x:v>
      </x:c>
      <x:c r="E21" s="26" t="str">
        <x:v>Margin recovery; Vietnam portfolio cleanup; omnichannel productivity; tourism; JD Sports partnership; store optimization; lower finance cost. Probability medium-high / impact medium-high over 6-24 months.</x:v>
      </x:c>
      <x:c r="F21" s="26" t="str">
        <x:v>Compare with regional retail peers on SSSG, gross margin, EBITDA margin, inventory turns, digital mix, ROIC and EV/EBITDA. CRC's ecosystem/location strengths are offset by multi-country execution complexity.</x:v>
      </x:c>
      <x:c r="G21" s="26" t="str">
        <x:v>Q2/26 revenue THB60.1bn +3.5% YoY; continuing-operations NPAT THB2.13bn +155.8% YoY. Profit recovery is being driven by gross-margin improvement, lower IT/finance cost and portfolio cleanup.</x:v>
      </x:c>
      <x:c r="H21" s="26" t="str">
        <x:v>Retail, consumer protection, labor, e-commerce/data privacy, foreign-investment and food/product standards apply. Regulation is more cost/compliance than moat; scale helps absorb compliance costs.</x:v>
      </x:c>
      <x:c r="I21" s="26" t="str">
        <x:v>Narrative is 'earnings recovery after portfolio cleanup'. Sentiment improving as profit grows faster than revenue. Story is middle-stage recovery rather than early expansion.</x:v>
      </x:c>
      <x:c r="J21" s="26" t="str">
        <x:v>At ~21.7x P/E and ~9.0x EV/EBITDA, valuation assumes recovery continues. Multiple expansion is possible only if ROIC and margin structurally improve; otherwise earnings growth must carry returns.</x:v>
      </x:c>
      <x:c r="K21" s="26" t="str">
        <x:v>Base: mid-single-digit revenue growth + margin normalization. Bull: stronger tourism/consumption + Vietnam/Italy improvement. Bear: weak consumer spending + overseas execution drag. 3-5y depends on omnichannel productivity and ROIC.</x:v>
      </x:c>
      <x:c r="L21" s="26" t="str">
        <x:v>Top risks: consumer slowdown (medium/high), overseas execution (medium/high), inventory/margin pressure (medium/medium), FX (medium/medium), capital allocation (medium/high). Monitor SSSG, gross margin, EBITDA margin, inventory, FCF, ROIC and Vietnam/Italy trends.</x:v>
      </x:c>
      <x:c r="M21" s="26" t="str">
        <x:v>Central ecosystem, brand and omnichannel scale support durable retail economics, while portfolio cleanup creates room for margin and ROIC recovery.</x:v>
      </x:c>
      <x:c r="N21" s="26" t="str">
        <x:v>Current valuation already prices a meaningful earnings recovery; if sales growth stays modest or overseas assets underperform, re-rating can stall.</x:v>
      </x:c>
      <x:c r="O21" s="135"/>
      <x:c r="P21" s="26" t="str">
        <x:v>Market sees CRC as a quality regional retailer whose earnings are recovering faster than sales after restructuring and cost discipline.</x:v>
      </x:c>
      <x:c r="Q21" s="26" t="str">
        <x:v>Market may underappreciate margin/ROIC upside from portfolio simplification, while underestimating overseas complexity and consumer softness.</x:v>
      </x:c>
      <x:c r="R21" s="26" t="str">
        <x:v>SSSG by country/format, gross margin, EBITDA margin, inventory days, online mix, Vietnam/Italy profitability, FCF, ROIC.</x:v>
      </x:c>
      <x:c r="S21" s="26" t="str">
        <x:v>Quality/recovery consumer investor comfortable with regional execution risk.</x:v>
      </x:c>
      <x:c r="T21" s="26" t="str">
        <x:v>CRC ไม่ใช่เรื่อง Revenue Growth แรง แต่เป็น Margin/ROIC Recovery หลังจัดพอร์ตใหม่ ถ้ากำไรโตเร็วกว่ายอดขายต่อเนื่อง Thesis จะยิ่งแข็ง.</x:v>
      </x:c>
      <x:c r="U21" s="26" t="str">
        <x:v>https://www.set.or.th/en/market/product/stock/quote/CRC/factsheet | https://lssmedia.setlink.set.or.th/2026/6M/CRC-6M69-ListedCompanySnapshot-EN.html | https://www.centralretail.com/en/investor-relations</x:v>
      </x:c>
      <x:c r="V21" s="26" t="str">
        <x:v>มี</x:v>
      </x:c>
      <x:c r="W21" s="26" t="str">
        <x:v>Brand/location ecosystem, supplier scale, loyalty data and omnichannel infrastructure create durable retail/distribution advantages.</x:v>
      </x:c>
      <x:c r="X21" s="26" t="str">
        <x:v>เทียบกับ Regional Retail peers ด้วย SSSG, Gross Margin, EBITDA Margin, Inventory Turns, Digital Mix, ROIC และ EV/EBITDA.</x:v>
      </x:c>
    </x:row>
    <x:row r="22" ht="72" customHeight="1">
      <x:c r="A22" s="26" t="str">
        <x:v>CPF</x:v>
      </x:c>
      <x:c r="B22" s="26" t="str">
        <x:v>CP Group-controlled global food company with long operating history and deep vertical-integration expertise. Management allocates capital across feed, farm, food and overseas operations. Alignment benefits from high controlling ownership, but leverage and complex international portfolio require capital-discipline monitoring.</x:v>
      </x:c>
      <x:c r="C22" s="26" t="str">
        <x:v>Integrated feed-farm-food platform across 17 countries. Moat: มี — vertical integration, genetics/feed know-how, procurement, distribution, food safety/traceability and scale. Durability moderate-high, but commodity meat pricing reduces pricing power.</x:v>
      </x:c>
      <x:c r="D22" s="26" t="str">
        <x:v>Global food TAM is large and defensive, but growth depends on value-added food, branded products, geographic mix and efficiency rather than commodity volume alone.</x:v>
      </x:c>
      <x:c r="E22" s="26" t="str">
        <x:v>Meat-price recovery; feed-cost relief; China/Vietnam normalization; value-added food mix; share buyback/capital return; portfolio optimization. Probability mixed / impact high because cycle dominates earnings.</x:v>
      </x:c>
      <x:c r="F22" s="26" t="str">
        <x:v>Compare with global protein/food peers on feed conversion, livestock spreads, margin, ROIC, leverage, FCF and value-added mix. Vertical integration lowers cost volatility but cannot remove animal-protein cycles.</x:v>
      </x:c>
      <x:c r="G22" s="26" t="str">
        <x:v>1H26 revenue THB286.0bn and NPAT THB8.95bn, down 53% YoY. Gross profit fell as meat prices weakened and feed/fuel/logistics costs rose. Margin expansion requires animal-price/feed-cost normalization plus higher branded-food mix.</x:v>
      </x:c>
      <x:c r="H22" s="26" t="str">
        <x:v>Food safety, disease control, animal welfare, environmental rules, export restrictions and country-level agricultural policy are material. Regulation is both barrier and risk; disease outbreaks can alter supply and trade flows abruptly.</x:v>
      </x:c>
      <x:c r="I22" s="26" t="str">
        <x:v>Narrative is 'global food value + cycle normalization'. Sentiment neutral because valuation is low but earnings have rolled off from a strong 2025 base. Story is cyclical middle-stage, not structural high growth.</x:v>
      </x:c>
      <x:c r="J22" s="26" t="str">
        <x:v>~8x P/E and ~0.7x P/BV look cheap, but normalized earnings matter more than spot multiples. Multiple expansion is possible if ROE/FCF recover without adding leverage.</x:v>
      </x:c>
      <x:c r="K22" s="26" t="str">
        <x:v>Base: margins normalize from weak 1H26. Bull: meat prices recover + feed costs soften. Bear: oversupply persists, China losses continue, FX weakens translated earnings. Long term depends on branded/value-added mix.</x:v>
      </x:c>
      <x:c r="L22" s="26" t="str">
        <x:v>Top risks: meat-price cycle (high/high), disease/biosecurity (medium/high), leverage (medium/high), FX/geopolitics (medium/medium), China/Vietnam oversupply (medium-high/high). Monitor livestock prices, feed costs, gross margin, associate profit, net debt and FCF.</x:v>
      </x:c>
      <x:c r="M22" s="26" t="str">
        <x:v>Global scale and vertical integration provide resilience through protein cycles, while low valuation offers upside if margins normalize.</x:v>
      </x:c>
      <x:c r="N22" s="26" t="str">
        <x:v>Cheap multiples can be a value trap when meat prices and associate earnings are falling; leverage and overseas complexity can magnify cycle downside.</x:v>
      </x:c>
      <x:c r="O22" s="135"/>
      <x:c r="P22" s="26" t="str">
        <x:v>Market sees CPF as a cyclical global protein name trading cheaply after earnings normalized from 2025 highs.</x:v>
      </x:c>
      <x:c r="Q22" s="26" t="str">
        <x:v>Market may underprice long-run branded food/value-added mix, but may underestimate duration of oversupply in key livestock markets.</x:v>
      </x:c>
      <x:c r="R22" s="26" t="str">
        <x:v>Swine/chicken prices, corn/soy/feed costs, gross margin, China associate profit, FX, net debt, FCF, dividend.</x:v>
      </x:c>
      <x:c r="S22" s="26" t="str">
        <x:v>Value/cyclical food investor who can tolerate commodity and biological risk.</x:v>
      </x:c>
      <x:c r="T22" s="26" t="str">
        <x:v>CPF ราคาถูก แต่ต้องอ่านแบบ Cycle ไม่ใช่ดู P/E อย่างเดียว 1H26 กำไรลด 53% แสดงให้เห็นว่า normalized margin สำคัญกว่า headline multiple.</x:v>
      </x:c>
      <x:c r="U22" s="26" t="str">
        <x:v>https://www.set.or.th/en/market/product/stock/quote/CPF/factsheet | https://lssmedia.setlink.set.or.th/2026/6M/CPF-6M69-ListedCompanySnapshot-EN.html | https://www.cpfworldwide.com/en/investors</x:v>
      </x:c>
      <x:c r="V22" s="26" t="str">
        <x:v>มี</x:v>
      </x:c>
      <x:c r="W22" s="26" t="str">
        <x:v>Vertical integration, global procurement, genetics/feed know-how, distribution and food-safety systems create durable cost/quality advantages, but pricing remains cyclical.</x:v>
      </x:c>
      <x:c r="X22" s="26" t="str">
        <x:v>เทียบกับ Global Protein/Food peers ด้วย Gross Margin, Feed Conversion, Livestock Spread, ROIC, Net Debt/EBITDA, FCF และ Value-added Mix.</x:v>
      </x:c>
    </x:row>
    <x:row r="23" ht="72" customHeight="1">
      <x:c r="A23" s="26" t="str">
        <x:v>TOP</x:v>
      </x:c>
      <x:c r="B23" s="26" t="str">
        <x:v>PTT-controlled refinery with experienced operational management. Core refining execution has historically been strong, but Clean Fuel Project (CFP) cost/timeline issues are the central capital-allocation test. Shareholder alignment therefore depends on disciplined project completion and balance-sheet repair.</x:v>
      </x:c>
      <x:c r="C23" s="26" t="str">
        <x:v>Integrated complex refinery, aromatics and lube base oil. Moat: มี — refinery complexity, scale, location/logistics integration, product optimization and top-quartile operating cost. Durability high operationally, but refining economics remain commodity-cycle driven.</x:v>
      </x:c>
      <x:c r="D23" s="26" t="str">
        <x:v>Thailand fuel demand is mature; growth runway is capacity/complexity enhancement through CFP and higher-value products rather than market-volume growth. Earnings are tied to regional refining spreads.</x:v>
      </x:c>
      <x:c r="E23" s="26" t="str">
        <x:v>GRM strength; CFP completion; lower project uncertainty; debt reduction; utilization; middle-distillate tightness; dividend normalization. CFP execution has high impact and medium probability/timing uncertainty.</x:v>
      </x:c>
      <x:c r="F23" s="26" t="str">
        <x:v>Compare only with Asian refiners on GRM, utilization, cash cost, complexity, net debt/EBITDA, capex and EV/EBITDA. TOP's operating asset is competitive; current disadvantage is project/leverage risk.</x:v>
      </x:c>
      <x:c r="G23" s="26" t="str">
        <x:v>SET TTM EBITDA ~THB41.4bn at 7 Oct 2026. Profitability benefits strongly from refining spreads, while CFP capex/interest weighs on FCF. Margin expansion is cycle-driven unless CFP raises structural complexity returns.</x:v>
      </x:c>
      <x:c r="H23" s="26" t="str">
        <x:v>Fuel-quality standards, environmental permits, carbon rules, refinery safety and energy policy are material. Stricter fuel standards are an entry barrier/opportunity for complex refiners but require major capex.</x:v>
      </x:c>
      <x:c r="I23" s="26" t="str">
        <x:v>Narrative is 'strong refining cycle versus CFP risk'. Sentiment positive on spreads but cautious on project execution. Story is late-cycle operationally but still recovery/repair on balance sheet.</x:v>
      </x:c>
      <x:c r="J23" s="26" t="str">
        <x:v>~5.4x EV/EBITDA looks inexpensive, but the discount compensates for leverage/CFP uncertainty. Re-rating requires credible completion cost/timeline and FCF recovery.</x:v>
      </x:c>
      <x:c r="K23" s="26" t="str">
        <x:v>Base: GRM normalizes while CFP progresses. Bull: strong middle-distillate spreads + project certainty. Bear: GRM falls while CFP costs rise. 3-5y value depends on incremental ROIC from CFP after full capital cost.</x:v>
      </x:c>
      <x:c r="L23" s="26" t="str">
        <x:v>Top risks: CFP overrun/delay (high/high), refining spread normalization (high/high), leverage/refinancing (medium-high/high), oil inventory loss (medium/medium), regulation/carbon cost (medium/medium). Monitor CFP capex/progress, GRM, utilization, net debt, interest cost and FCF.</x:v>
      </x:c>
      <x:c r="M23" s="26" t="str">
        <x:v>Competitive refinery assets and complexity offer strong cash-generation potential when spreads are healthy; successful CFP completion could materially improve normalized economics.</x:v>
      </x:c>
      <x:c r="N23" s="26" t="str">
        <x:v>CFP can destroy value if final capital cost exceeds incremental returns; low EV/EBITDA may be misleading near strong refining margins.</x:v>
      </x:c>
      <x:c r="O23" s="135"/>
      <x:c r="P23" s="26" t="str">
        <x:v>Market believes TOP is a high-quality refinery discounted for CFP execution and leverage risk.</x:v>
      </x:c>
      <x:c r="Q23" s="26" t="str">
        <x:v>Market may underprice the value of successful CFP completion, or underestimate how much capital overrun can impair future ROIC.</x:v>
      </x:c>
      <x:c r="R23" s="26" t="str">
        <x:v>Singapore/Asian GRM, diesel/jet cracks, utilization, CFP progress/cost, net debt/EBITDA, interest cost, FCF, dividend.</x:v>
      </x:c>
      <x:c r="S23" s="26" t="str">
        <x:v>Cyclical/value energy investor comfortable with project and leverage risk.</x:v>
      </x:c>
      <x:c r="T23" s="26" t="str">
        <x:v>TOP ต้องแยกสองเรื่อง: Refinery asset คุณภาพดี แต่ CFP คือ thesis-breaker/creator ตัวจริง ราคาถูกจะมีความหมายก็ต่อเมื่อ Project Economics ดีพอ.</x:v>
      </x:c>
      <x:c r="U23" s="26" t="str">
        <x:v>https://www.set.or.th/en/market/product/stock/quote/TOP/factsheet | https://investor.thaioilgroup.com/en/home</x:v>
      </x:c>
      <x:c r="V23" s="26" t="str">
        <x:v>มี</x:v>
      </x:c>
      <x:c r="W23" s="26" t="str">
        <x:v>Complexity, operating cost, integrated logistics and refinery optimization create a durable operational moat, though end-product spreads remain cyclical.</x:v>
      </x:c>
      <x:c r="X23" s="26" t="str">
        <x:v>เทียบกับ Asian Refiners ด้วย GRM, Utilization, Cash Cost, Complexity, Net Debt/EBITDA, Capex และ EV/EBITDA.</x:v>
      </x:c>
    </x:row>
    <x:row r="24" ht="72" customHeight="1">
      <x:c r="A24" s="26" t="str">
        <x:v>IVL</x:v>
      </x:c>
      <x:c r="B24" s="26" t="str">
        <x:v>Founder-led global petrochemical company with a long M&amp;A and integration track record. Management is now shifting from expansion to portfolio optimization, cost reset and deleveraging. The key capital-allocation question is whether restructuring converts scale into sustainable FCF/ROIC.</x:v>
      </x:c>
      <x:c r="C24" s="26" t="str">
        <x:v>Global integrated PET, fibers, specialty surfactants and packaging platform. Moat: มีบางส่วน — global scale, customer relationships, integrated PET chain, recycling footprint and geographic diversification. Durability moderate because commodity spreads remain structurally competitive.</x:v>
      </x:c>
      <x:c r="D24" s="26" t="str">
        <x:v>Global PET/specialty chemicals TAM is large, but industry overcapacity limits organic pricing power. Growth runway is value-added mix, Indovinya, recycling, asset optimization and cost savings rather than pure volume expansion.</x:v>
      </x:c>
      <x:c r="E24" s="26" t="str">
        <x:v>Portfolio optimization; asset closures/divestments; cost savings; lower energy/feedstock spreads; China supply rationalization; deleveraging; specialty-chemicals recovery. Probability medium / impact high over 12-36 months.</x:v>
      </x:c>
      <x:c r="F24" s="26" t="str">
        <x:v>Compare with global chemicals/PET peers on utilization, integrated spreads, specialty mix, EBITDA/ton, FCF, leverage and ROIC. IVL's scale/diversification is an advantage, but commodity exposure keeps moat below branded/technology businesses.</x:v>
      </x:c>
      <x:c r="G24" s="26" t="str">
        <x:v>SET TTM EBITDA ~THB26.25bn; Q2/6M26 remains a recovery/restructuring period. Margin expansion depends on cost-reset execution, improved utilization/spreads and higher specialty contribution.</x:v>
      </x:c>
      <x:c r="H24" s="26" t="str">
        <x:v>Environmental/carbon rules, recycling mandates, trade barriers, antidumping duties, chemical safety and energy policy can materially affect regional economics. Regulation can favor recycling/local production but also raise capex and compliance costs.</x:v>
      </x:c>
      <x:c r="I24" s="26" t="str">
        <x:v>Narrative is 'global chemicals turnaround + deleveraging'. Sentiment has improved with share-price recovery, but trailing losses mean confidence is not fully restored. Story is middle-stage restructuring.</x:v>
      </x:c>
      <x:c r="J24" s="26" t="str">
        <x:v>P/E is not meaningful; ~10x EV/EBITDA requires confidence in normalized EBITDA/FCF. Multiple expansion is less important than deleveraging and ROIC recovery.</x:v>
      </x:c>
      <x:c r="K24" s="26" t="str">
        <x:v>Base: gradual spread/utilization recovery + cost savings. Bull: deeper capacity rationalization + specialty growth. Bear: China overcapacity persists and FCF stays weak. 3-5y outcome hinges on net debt reduction and portfolio quality.</x:v>
      </x:c>
      <x:c r="L24" s="26" t="str">
        <x:v>Top risks: global overcapacity (high/high), leverage/refinancing (medium-high/high), execution of asset optimization (medium/high), feedstock/energy volatility (medium/medium), FX/geopolitics (medium/medium). Monitor EBITDA/ton, utilization, cost savings, FCF, net debt/EBITDA and asset sales.</x:v>
      </x:c>
      <x:c r="M24" s="26" t="str">
        <x:v>Global scale and integrated customer relationships create recovery torque; restructuring and asset optimization can unlock value if FCF improves.</x:v>
      </x:c>
      <x:c r="N24" s="26" t="str">
        <x:v>Commodity overcapacity may be structural rather than cyclical; leverage can consume recovery benefits and prolong low ROIC.</x:v>
      </x:c>
      <x:c r="O24" s="136"/>
      <x:c r="P24" s="26" t="str">
        <x:v>Market believes IVL is in a restructuring/deleveraging phase after a prolonged chemical downturn.</x:v>
      </x:c>
      <x:c r="Q24" s="26" t="str">
        <x:v>Market may underprice cost-reset and specialty-chemicals upside, but may still underestimate structural Asian overcapacity.</x:v>
      </x:c>
      <x:c r="R24" s="26" t="str">
        <x:v>PET/spread indicators, utilization, Indovinya EBITDA, cost savings, FCF, net debt/EBITDA, asset closures/divestments.</x:v>
      </x:c>
      <x:c r="S24" s="26" t="str">
        <x:v>Turnaround/cyclical investor comfortable with leverage and global chemicals volatility.</x:v>
      </x:c>
      <x:c r="T24" s="26" t="str">
        <x:v>IVL ต้องดู FCF + Net Debt มากกว่ากำไรบัญชี ตอนนี้ Thesis คือ Scale จะถูกแปลงเป็น ROIC/FCF ได้จริงหลัง Cost Reset หรือไม่.</x:v>
      </x:c>
      <x:c r="U24" s="26" t="str">
        <x:v>https://www.set.or.th/en/market/product/stock/quote/IVL/factsheet | https://www.set.or.th/th/market/news-and-alert/newsdetails?id=105846501&amp;symbol=IVL | https://www.indoramaventures.com/en/investor-relations</x:v>
      </x:c>
      <x:c r="V24" s="26" t="str">
        <x:v>มีบางส่วน</x:v>
      </x:c>
      <x:c r="W24" s="26" t="str">
        <x:v>Global scale, integrated PET chain, customer relationships and specialty platforms create advantages, but commodity spreads and overcapacity limit pricing power.</x:v>
      </x:c>
      <x:c r="X24" s="26" t="str">
        <x:v>เทียบกับ Global Chemicals/PET peers ด้วย Utilization, EBITDA/ton, Specialty Mix, FCF, Net Debt/EBITDA, ROIC และ EV/EBITDA.</x:v>
      </x:c>
    </x:row>
    <x:row r="25" ht="72" customHeight="1">
      <x:c r="A25" s="26" t="str">
        <x:v>THAI</x:v>
      </x:c>
      <x:c r="B25" s="26" t="str">
        <x:v>National flag carrier that emerged from rehabilitation with a much cleaner capital structure and stronger operational discipline. Management has improved pricing/yield management and fleet planning; execution credibility is better, but aviation remains highly cyclical and state influence persists.</x:v>
      </x:c>
      <x:c r="C25" s="26" t="str">
        <x:v>Full-service airline with Bangkok hub, premium brand, Star Alliance connectivity, slots and international network. Moat: มี — hub position, brand, bilateral rights/slots and network connectivity. Durability moderate-high, though pricing power varies by route.</x:v>
      </x:c>
      <x:c r="D25" s="26" t="str">
        <x:v>Air-travel TAM grows with Thailand tourism, outbound travel and long-haul connectivity. Growth runway comes from fleet renewal, route optimization, premium mix and better aircraft utilization rather than indiscriminate capacity growth.</x:v>
      </x:c>
      <x:c r="E25" s="26" t="str">
        <x:v>Tourism recovery; yield discipline; fleet additions; lower fuel prices; network normalization after Middle East disruption; dividend restoration; JUMP+ execution. Probability medium-high / impact high over 6-36 months.</x:v>
      </x:c>
      <x:c r="F25" s="26" t="str">
        <x:v>Compare with Asian full-service carriers on RASK/CASK, load factor, yield, fleet age, net debt/EBITDA, EBITDAR margin and ROIC. THAI's hub/brand are advantages; fuel exposure and fleet capex remain structural risks.</x:v>
      </x:c>
      <x:c r="G25" s="26" t="str">
        <x:v>1H26 revenue THB103.1bn, NPAT THB11.6bn -47% YoY. Q2 revenue ex-one-offs rose 8.5% YoY, but fuel-price shock lifted costs sharply. Revenue quality improved, but operating leverage cuts both ways.</x:v>
      </x:c>
      <x:c r="H25" s="26" t="str">
        <x:v>Aviation safety, bilateral rights, airport slots, consumer protection, environmental/carbon rules and state policy matter. Regulation creates entry barriers but also limits route/fleet flexibility and raises compliance cost.</x:v>
      </x:c>
      <x:c r="I25" s="26" t="str">
        <x:v>Narrative is 'post-rehab turnaround to normalized airline'. Sentiment is mixed-positive: balance sheet and yield management improved, but Middle East fuel shock reminded investors that airline earnings remain volatile.</x:v>
      </x:c>
      <x:c r="J25" s="26" t="str">
        <x:v>~7.6x P/E and ~4.5x EV/EBITDA look cheap, but normalized-cycle earnings matter more than spot multiples. Multiple expansion is possible only if FCF survives a normal fuel cycle and fleet capex.</x:v>
      </x:c>
      <x:c r="K25" s="26" t="str">
        <x:v>Base: fuel normalizes and yields stay firm. Bull: tourism + fleet productivity + lower fuel. Bear: fuel/geopolitical shock + weaker load factor. 3-5y outcome depends on fleet economics, route profitability and leverage discipline.</x:v>
      </x:c>
      <x:c r="L25" s="26" t="str">
        <x:v>Top risks: fuel price (high/high), geopolitics (medium-high/high), fleet/capex (medium/high), FX (medium/medium), demand shock (medium/high). Monitor yield, load factor, RASK/CASK, jet fuel, fleet capex, net debt and FCF.</x:v>
      </x:c>
      <x:c r="M25" s="26" t="str">
        <x:v>Hub strength, brand and improved post-rehab discipline create meaningful recovery potential, with valuation still modest on normalized earnings.</x:v>
      </x:c>
      <x:c r="N25" s="26" t="str">
        <x:v>Airline economics remain structurally volatile; high fuel prices and geopolitical disruption can erase profit quickly while fleet renewal demands large capital.</x:v>
      </x:c>
      <x:c r="O25" s="136"/>
      <x:c r="P25" s="26" t="str">
        <x:v>Market believes THAI is structurally healthier after rehabilitation and can sustain better pricing/yields than pre-rehab years.</x:v>
      </x:c>
      <x:c r="Q25" s="26" t="str">
        <x:v>Market may underprice the durability of yield management and hub economics, but may underestimate future fleet-capex and fuel-cycle volatility.</x:v>
      </x:c>
      <x:c r="R25" s="26" t="str">
        <x:v>Passenger yield, load factor, ASK/RPK, fuel price, RASK/CASK, fleet deliveries, capex, D/E, FCF, dividend.</x:v>
      </x:c>
      <x:c r="S25" s="26" t="str">
        <x:v>Turnaround/value investor comfortable with airline cyclicality and geopolitical risk.</x:v>
      </x:c>
      <x:c r="T25" s="26" t="str">
        <x:v>THAI หลัง Rehab คุณภาพงบดุลและ Yield Management ดีขึ้นมาก แต่ยังต้องวัดด้วย FCF ผ่านวัฏจักรน้ำมัน ไม่ใช่ดู P/E ต่ำอย่างเดียว.</x:v>
      </x:c>
      <x:c r="U25" s="26" t="str">
        <x:v>https://www.set.or.th/en/market/product/stock/quote/THAI/factsheet | https://lssmedia.setlink.set.or.th/2026/6M/THAI-6M69-ListedCompanySnapshot-EN.html | https://ir.thaiairways.com/</x:v>
      </x:c>
      <x:c r="V25" s="26" t="str">
        <x:v>มี</x:v>
      </x:c>
      <x:c r="W25" s="26" t="str">
        <x:v>Bangkok hub, premium brand, slots/bilateral rights and network connectivity form a defensible airline moat, though route-level pricing remains competitive.</x:v>
      </x:c>
      <x:c r="X25" s="26" t="str">
        <x:v>เทียบกับ Asian Full-Service Airlines ด้วย Yield, Load Factor, RASK/CASK, EBITDAR Margin, Fleet Age, Net Debt/EBITDA และ ROIC.</x:v>
      </x:c>
    </x:row>
    <x:row r="26" ht="72" customHeight="1">
      <x:c r="A26" s="26" t="str">
        <x:v>BH</x:v>
      </x:c>
      <x:c r="B26" s="26" t="str">
        <x:v>Professionally managed premium hospital with a long record of high ROIC, clinical quality and conservative balance-sheet management. Ownership is dispersed relative to founder-controlled peers; shareholder alignment is supported by strong cash generation and dividends.</x:v>
      </x:c>
      <x:c r="C26" s="26" t="str">
        <x:v>Single-campus premium tertiary hospital with international referral network, complex-care specialties and high-end medical tourism. Moat: มี — physician reputation, clinical outcomes, brand, international referral channels and difficult-to-replicate high-acuity expertise. Durability very high.</x:v>
      </x:c>
      <x:c r="D26" s="26" t="str">
        <x:v>Growth runway comes from aging, complex-care intensity, Middle East/CLMV medical tourism, digital healthcare and new capacity such as Phuket. TAM is smaller than mass-market hospital networks but higher-value per patient.</x:v>
      </x:c>
      <x:c r="E26" s="26" t="str">
        <x:v>Middle East patient recovery; complex-care mix; Phuket ramp-up; pricing; digital healthcare; dividends. Probability medium-high / impact medium over 6-36 months.</x:v>
      </x:c>
      <x:c r="F26" s="26" t="str">
        <x:v>Compare with premium hospital peers on revenue/patient, international mix, EBITDA/net margin, ROIC, occupancy, net cash and P/E/EV-EBITDA. BH's margin/ROE profile is exceptional.</x:v>
      </x:c>
      <x:c r="G26" s="26" t="str">
        <x:v>1H26 revenue THB12.63bn +1.7% YoY and NPAT THB3.68bn +2.4%; Q2 NPAT THB1.89bn +1.7%. Net margin ~29% remains exceptionally high despite softer growth.</x:v>
      </x:c>
      <x:c r="H26" s="26" t="str">
        <x:v>Hospital licensing, professional standards, insurance/copayment policy, data privacy and medical-tourism regulations matter. Regulation raises entry barriers but can affect reimbursement and patient flows.</x:v>
      </x:c>
      <x:c r="I26" s="26" t="str">
        <x:v>Narrative is 'premium healthcare moat + net cash'. Sentiment is positive but not euphoric; market debates whether Middle East growth and new Phuket capacity can reaccelerate earnings.</x:v>
      </x:c>
      <x:c r="J26" s="26" t="str">
        <x:v>~19.7x P/E and 13.9x EV/EBITDA are premium but supported by net cash, ROE and margins. Multiple expansion is less likely than earnings/dividend-driven returns.</x:v>
      </x:c>
      <x:c r="K26" s="26" t="str">
        <x:v>Base: low-to-mid single-digit growth with stable margins. Bull: Middle East + Phuket + complex-care mix. Bear: geopolitical travel shock + slower domestic affordability. Long term depends on maintaining clinical premium.</x:v>
      </x:c>
      <x:c r="L26" s="26" t="str">
        <x:v>Top risks: international patient concentration (medium/high), geopolitical travel disruption (medium/high), new-hospital ramp-up (medium/medium), medical staff cost (medium/medium), policy/insurance (low-medium/medium).</x:v>
      </x:c>
      <x:c r="M26" s="26" t="str">
        <x:v>Exceptional clinical brand, physician network, premium pricing and net cash support durable compounding and downside resilience.</x:v>
      </x:c>
      <x:c r="N26" s="26" t="str">
        <x:v>Premium valuation can compress if international patient growth stalls; a concentrated premium model has less volume diversification than broad hospital networks.</x:v>
      </x:c>
      <x:c r="O26" s="136"/>
      <x:c r="P26" s="26" t="str">
        <x:v>Market believes BH deserves a premium for superior margins, medical tourism and balance-sheet strength.</x:v>
      </x:c>
      <x:c r="Q26" s="26" t="str">
        <x:v>Market may underappreciate long-term Phuket/complex-care upside, but may overestimate how quickly Middle East patient growth normalizes.</x:v>
      </x:c>
      <x:c r="R26" s="26" t="str">
        <x:v>International revenue mix, revenue per patient, net margin, ROE, Phuket ramp-up, cash balance, dividend, Middle East travel flows.</x:v>
      </x:c>
      <x:c r="S26" s="26" t="str">
        <x:v>Quality/defensive growth investor seeking premium healthcare economics and low balance-sheet risk.</x:v>
      </x:c>
      <x:c r="T26" s="26" t="str">
        <x:v>BH เป็น Quality Compounder ชัดเจน: Margin/ROE สูงและ Net Cash แต่ upside ต่อจากนี้ต้องมาจาก Earnings Growth ไม่ใช่หวัง Multiple ขยาย.</x:v>
      </x:c>
      <x:c r="U26" s="26" t="str">
        <x:v>https://www.set.or.th/en/market/product/stock/quote/BH/factsheet | https://lssmedia.setlink.set.or.th/2026/6M/BH-6M69-ListedCompanySnapshot-EN.html | https://investor.bumrungrad.com/home.html</x:v>
      </x:c>
      <x:c r="V26" s="26" t="str">
        <x:v>มี</x:v>
      </x:c>
      <x:c r="W26" s="26" t="str">
        <x:v>Clinical reputation, international referrals, high-acuity specialties, physician network and brand create strong intangible/quality barriers.</x:v>
      </x:c>
      <x:c r="X26" s="26" t="str">
        <x:v>เทียบกับ Premium Hospital peers ด้วย Revenue/Patient, International Mix, EBITDA/Net Margin, ROE/ROIC, Net Cash และ P/E/EV-EBITDA.</x:v>
      </x:c>
    </x:row>
    <x:row r="27" ht="72" customHeight="1">
      <x:c r="A27" s="26" t="str">
        <x:v>CP Group-controlled modern-trade platform; management priority is merger synergy, ROIC and deleveraging.</x:v>
      </x:c>
      <x:c r="B27" s="26" t="str">
        <x:v>Makro wholesale + Lotus's retail/malls. Moat: มี — procurement scale, stores, supplier economics, logistics, membership/data and CP ecosystem.</x:v>
      </x:c>
      <x:c r="C27" s="26" t="str">
        <x:v>Runway from B2B foodservice, omnichannel, fresh/private label, tenant income and productivity; Thai modern trade itself is mature.</x:v>
      </x:c>
      <x:c r="D27" s="26" t="str">
        <x:v>Synergy, margin recovery, store optimization, B2B/digital, lower interest cost, debt paydown. 6-24m: probability medium-high / impact medium-high.</x:v>
      </x:c>
      <x:c r="E27" s="26" t="str">
        <x:v>Compare with wholesale/modern retail peers on SSSG, gross margin, sales/sqm, inventory turns, EBITDA margin, FCF, leverage and EV/EBITDA.</x:v>
      </x:c>
      <x:c r="F27" s="26" t="str">
        <x:v>1H26 revenue THB266.65bn +3.45% YoY but attributable NPAT THB4.67bn -5.3%; profit quality depends on margin and financing cost.</x:v>
      </x:c>
      <x:c r="G27" s="26" t="str">
        <x:v>Competition, food safety, labor, zoning, privacy and consumer rules; scale helps absorb compliance cost but competition rules limit consolidation benefits.</x:v>
      </x:c>
      <x:c r="H27" s="26" t="str">
        <x:v>Narrative: post-merger synergy + deleveraging. Sentiment neutral; market wants proof that scale converts to FCF/ROIC.</x:v>
      </x:c>
      <x:c r="I27" s="26" t="str">
        <x:v>16.2x P/E and 9.3x EV/EBITDA = Fair Value if synergy and cash conversion improve. P/BV is less informative due merger accounting.</x:v>
      </x:c>
      <x:c r="J27" s="26" t="str">
        <x:v>Base: low-single-digit sales + gradual margin repair. Bull: faster synergy/B2B. Bear: weak consumption + leverage. 3-5y hinges on ROIC.</x:v>
      </x:c>
      <x:c r="K27" s="26" t="str">
        <x:v>Risks: leverage, weak consumption, integration, price competition, working capital. Monitor SSSG, gross margin, FCF, debt/EBITDA, interest expense.</x:v>
      </x:c>
      <x:c r="L27" s="26" t="str">
        <x:v>Scale, procurement/logistics and customer ecosystem create a durable platform; synergy and balance-sheet repair can lift returns.</x:v>
      </x:c>
      <x:c r="M27" s="26" t="str">
        <x:v>Scale alone does not guarantee high ROIC; thin retail margins and leverage can keep returns mediocre.</x:v>
      </x:c>
      <x:c r="N27" s="26" t="str"/>
      <x:c r="O27" s="136" t="str">
        <x:v>Market believes the platform is strategically strong but still needs to prove superior FCF/ROIC.</x:v>
      </x:c>
      <x:c r="P27" s="26" t="str">
        <x:v>Market may underprice procurement/B2B synergies but underestimate time needed for deleveraging.</x:v>
      </x:c>
      <x:c r="Q27" s="26" t="str">
        <x:v>SSSG, gross margin, EBITDA margin, inventory turns, FCF, debt/EBITDA, interest cost, B2B/digital mix.</x:v>
      </x:c>
      <x:c r="R27" s="26" t="str">
        <x:v>Value/quality retail investor comfortable with integration and leverage risk.</x:v>
      </x:c>
      <x:c r="S27" s="26" t="str">
        <x:v>CPAXT มี Scale Moat ชัด แต่ Thesis ต้องเห็น Margin + FCF + ROIC ดีขึ้นพร้อมลดหนี้ ไม่ใช่แค่ยอดขายใหญ่.</x:v>
      </x:c>
      <x:c r="T27" s="26" t="str">
        <x:v>https://www.set.or.th/en/market/product/stock/quote/CPAXT/factsheet | https://www.set.or.th/th/market/news-and-alert/newsdetails?id=105743901&amp;symbol=CPAXT | https://www.set.or.th/en/market/product/stock/quote/CPAXT/financial-statement/financial-statements-analysis</x:v>
      </x:c>
      <x:c r="U27" s="26" t="str">
        <x:v>มี</x:v>
      </x:c>
      <x:c r="V27" s="26" t="str">
        <x:v>Procurement scale, store/logistics network, supplier economics, membership/data and CP ecosystem create durable modern-trade advantages.</x:v>
      </x:c>
      <x:c r="W27" s="26" t="str">
        <x:v>เทียบกับ Wholesale/Modern Retail peers ด้วย SSSG, Gross Margin, Inventory Turns, EBITDA Margin, FCF, Debt/EBITDA และ EV/EBITDA.</x:v>
      </x:c>
      <x:c r="X27" s="26"/>
    </x:row>
    <x:row r="28" ht="72" customHeight="1">
      <x:c r="A28" s="26" t="str">
        <x:v>OR</x:v>
      </x:c>
      <x:c r="B28" s="26" t="str">
        <x:v>PTT-controlled retail platform with nationwide fuel network and lifestyle assets such as Café Amazon. Management is pushing non-oil growth and overseas expansion while navigating energy transition. Capital allocation must balance network defense, lifestyle growth and EV infrastructure.</x:v>
      </x:c>
      <x:c r="C28" s="26" t="str">
        <x:v>Integrated mobility and lifestyle platform: PTT Station, commercial fuel, Café Amazon, convenience/food concepts and overseas operations. Moat: มี — nationwide locations, brand, PTT ecosystem, loyalty data and dealer network. Durability high in distribution, lower in commodity fuel margins.</x:v>
      </x:c>
      <x:c r="D28" s="26" t="str">
        <x:v>Fuel retail TAM is mature; growth runway is non-oil/lifestyle, EV charging, commercial channels, overseas expansion and higher site productivity.</x:v>
      </x:c>
      <x:c r="E28" s="26" t="str">
        <x:v>Oil-margin normalization; inventory gains; Café Amazon growth; EV ecosystem; cost control; regional expansion; PTT ecosystem cross-sell. Probability medium / impact medium-high.</x:v>
      </x:c>
      <x:c r="F28" s="26" t="str">
        <x:v>Compare with fuel-retail/convenience peers on marketing margin, sales volume, non-oil EBITDA mix, station productivity, ROIC, FCF and EV/EBITDA. OR's network is strong but earnings quality is still fuel-margin sensitive.</x:v>
      </x:c>
      <x:c r="G28" s="26" t="str">
        <x:v>Q2/26 loss THB1.77bn; 1H26 NPAT only THB0.64bn vs THB6.61bn prior year. This highlights volatility from oil price/inventory and marketing margins. Structural margin expansion requires higher non-oil mix.</x:v>
      </x:c>
      <x:c r="H28" s="26" t="str">
        <x:v>Fuel pricing, excise/tax, competition, EV policy, environmental regulation and franchise/food standards are key. Regulation can compress fuel margins but EV transition creates optionality.</x:v>
      </x:c>
      <x:c r="I28" s="26" t="str">
        <x:v>Narrative is 'fuel retailer becoming lifestyle/EV platform'. Sentiment is cautious after sharp earnings deterioration; market wants proof that non-oil can stabilize group profit.</x:v>
      </x:c>
      <x:c r="J28" s="26" t="str">
        <x:v>~27x P/E and ~10x EV/EBITDA are demanding given weak 1H26 earnings. Multiple compression risk is higher than expansion unless earnings normalize strongly.</x:v>
      </x:c>
      <x:c r="K28" s="26" t="str">
        <x:v>Base: fuel margins normalize and non-oil grows. Bull: inventory/margin recovery + Café Amazon/EV scale. Bear: regulated margins + weak oil demand + capex drag. 3-5y value depends on non-oil ROIC.</x:v>
      </x:c>
      <x:c r="L28" s="26" t="str">
        <x:v>Top risks: oil/inventory margin volatility (high/high), regulation/price controls (medium-high/high), EV transition (medium/medium), overseas execution (medium/medium), capital allocation (medium/high).</x:v>
      </x:c>
      <x:c r="M28" s="26" t="str">
        <x:v>Nationwide network and PTT ecosystem provide durable distribution value, while non-oil and EV optionality could improve earnings quality over time.</x:v>
      </x:c>
      <x:c r="N28" s="26" t="str">
        <x:v>Current earnings are volatile and valuation is not cheap; non-oil growth may not offset fuel-margin compression quickly enough.</x:v>
      </x:c>
      <x:c r="O28" s="136"/>
      <x:c r="P28" s="26" t="str">
        <x:v>Market believes OR has valuable stations and Café Amazon but needs a more stable profit mix beyond oil retail.</x:v>
      </x:c>
      <x:c r="Q28" s="26" t="str">
        <x:v>Market may underprice long-term EV/lifestyle ecosystem value, but may overestimate speed of non-oil monetization.</x:v>
      </x:c>
      <x:c r="R28" s="26" t="str">
        <x:v>Oil marketing margin, inventory gain/loss, fuel volume, non-oil EBITDA mix, Café Amazon SSSG, EV charging utilization, ROIC, FCF.</x:v>
      </x:c>
      <x:c r="S28" s="26" t="str">
        <x:v>Consumer/energy-transition investor who accepts earnings volatility and policy risk.</x:v>
      </x:c>
      <x:c r="T28" s="26" t="str">
        <x:v>OR มี Distribution Moat ชัด แต่ 1H26 แสดงว่ากำไรยังผันผวนมากจาก Oil Margin/Inventory; Thesis จะดีขึ้นเมื่อ Non-oil EBITDA มีสัดส่วนและ ROIC สูงขึ้นจริง.</x:v>
      </x:c>
      <x:c r="U28" s="26" t="str">
        <x:v>https://www.set.or.th/en/market/product/stock/quote/OR/factsheet | https://www.set.or.th/en/market/news-and-alert/newsdetails?id=105675100&amp;symbol=OR | https://investor.pttor.com/en/home</x:v>
      </x:c>
      <x:c r="V28" s="26" t="str">
        <x:v>มี</x:v>
      </x:c>
      <x:c r="W28" s="26" t="str">
        <x:v>Nationwide station footprint, PTT brand, dealer network, loyalty ecosystem and site traffic create durable distribution advantages.</x:v>
      </x:c>
      <x:c r="X28" s="26" t="str">
        <x:v>เทียบกับ Fuel Retail/Lifestyle peers ด้วย Marketing Margin, Volume, Non-oil EBITDA Mix, Site Productivity, ROIC, FCF และ EV/EBITDA.</x:v>
      </x:c>
    </x:row>
    <x:row r="29" ht="72" customHeight="1">
      <x:c r="A29" s="26" t="str">
        <x:v>GPSC</x:v>
      </x:c>
      <x:c r="B29" s="26" t="str">
        <x:v>PTT Group power flagship with experienced utility management and access to strategic industrial customers/capital. Management is balancing conventional generation, renewables, batteries and debt reduction. Capital discipline is important after years of expansion.</x:v>
      </x:c>
      <x:c r="C29" s="26" t="str">
        <x:v>Power, steam and utilities platform serving EGAT and industrial users, with renewables and battery/energy-storage exposure. Moat: มี — long-term contracts, industrial customer relationships, permits, scale and PTT ecosystem. Durability high, but returns depend on tariff/fuel pass-through and project ROIC.</x:v>
      </x:c>
      <x:c r="D29" s="26" t="str">
        <x:v>Thailand power demand is mature but electrification, renewables, storage and industrial decarbonization expand the addressable market. Growth runway comes from clean energy, batteries, utility optimization and selective acquisitions.</x:v>
      </x:c>
      <x:c r="E29" s="26" t="str">
        <x:v>Lower gas/fuel costs; Ft/tariff normalization; new renewable projects; battery/energy-storage scaling; interest-cost reduction; Energy Recovery Unit acquisition. Probability medium-high / impact medium.</x:v>
      </x:c>
      <x:c r="F29" s="26" t="str">
        <x:v>Compare with IPP/SPP peers on contracted capacity, gross margin/MW, fuel pass-through, ROIC, net debt/EBITDA, capex and EV/EBITDA. GPSC's industrial/PTT customer base is a structural advantage.</x:v>
      </x:c>
      <x:c r="G29" s="26" t="str">
        <x:v>1H26 NPAT THB3.54bn +12% YoY; Q2 THB1.82bn. Earnings improved despite rate/fuel volatility. Margin expansion depends on fuel cost, tariff pass-through, efficiency and financing cost.</x:v>
      </x:c>
      <x:c r="H29" s="26" t="str">
        <x:v>Power purchase agreements, Ft/tariff policy, environmental/carbon rules, renewable incentives and utility regulation are central. Regulation is both barrier to entry and return-setting mechanism.</x:v>
      </x:c>
      <x:c r="I29" s="26" t="str">
        <x:v>Narrative is 'earnings recovery + energy transition'. Sentiment is constructive, but high leverage/capital intensity keep valuation anchored to ROIC and funding cost.</x:v>
      </x:c>
      <x:c r="J29" s="26" t="str">
        <x:v>~21.1x P/E and ~11.0x EV/EBITDA are fair for contracted power with growth optionality, but not cheap given leverage. Multiple expansion needs better ROIC and deleveraging.</x:v>
      </x:c>
      <x:c r="K29" s="26" t="str">
        <x:v>Base: stable contracted earnings + gradual renewables growth. Bull: lower fuel/finance cost + battery/renewables upside. Bear: tariff lag + high capex + project underperformance. Long-term value depends on energy-transition ROIC.</x:v>
      </x:c>
      <x:c r="L29" s="26" t="str">
        <x:v>Top risks: leverage/refinancing (medium-high/high), tariff/fuel mismatch (medium/high), project execution (medium/high), power-demand growth (low-medium/medium), technology/battery risk (medium/medium).</x:v>
      </x:c>
      <x:c r="M29" s="26" t="str">
        <x:v>Contracted utility cash flows, strategic industrial customers and energy-transition optionality create a solid long-term platform.</x:v>
      </x:c>
      <x:c r="N29" s="26" t="str">
        <x:v>High leverage and capital intensity can dilute returns; energy-transition projects must earn above funding cost to justify current valuation.</x:v>
      </x:c>
      <x:c r="O29" s="136"/>
      <x:c r="P29" s="26" t="str">
        <x:v>Market believes GPSC offers defensive power earnings plus renewables/battery optionality, but with balance-sheet constraints.</x:v>
      </x:c>
      <x:c r="Q29" s="26" t="str">
        <x:v>Market may underprice operating leverage from lower fuel/funding cost, while underestimating the capital required for transition growth.</x:v>
      </x:c>
      <x:c r="R29" s="26" t="str">
        <x:v>Fuel cost, Ft/tariff, SPP margin, contracted MW, net debt/EBITDA, interest cost, capex, renewable pipeline, battery economics.</x:v>
      </x:c>
      <x:c r="S29" s="26" t="str">
        <x:v>Infrastructure/utility investor seeking contracted cash flow plus energy-transition exposure.</x:v>
      </x:c>
      <x:c r="T29" s="26" t="str">
        <x:v>GPSC Business Quality ดีจาก Contracted Cash Flow แต่ Investment Case ต้องดู ROIC หลังหัก Funding Cost เพราะ Growth ในพลังงานสะอาดใช้เงินทุนสูง.</x:v>
      </x:c>
      <x:c r="U29" s="26" t="str">
        <x:v>https://www.set.or.th/en/market/product/stock/quote/GPSC/factsheet | https://www.settrade.com/th/news-and-articles/news/105655800?symbol=GPSC | https://www.gpscgroup.com/en/investor-relations/home</x:v>
      </x:c>
      <x:c r="V29" s="26" t="str">
        <x:v>มี</x:v>
      </x:c>
      <x:c r="W29" s="26" t="str">
        <x:v>Long-term contracts, industrial customers, permits, utility scale and PTT ecosystem create durable infrastructure/regulatory barriers.</x:v>
      </x:c>
      <x:c r="X29" s="26" t="str">
        <x:v>เทียบกับ IPP/SPP peers ด้วย Contracted Capacity, Margin/MW, Fuel Pass-through, ROIC, Net Debt/EBITDA, Capex และ EV/EBITDA.</x:v>
      </x:c>
    </x:row>
    <x:row r="30" ht="72" customHeight="1">
      <x:c r="A30" s="26" t="str">
        <x:v>SCG-controlled packaging platform with regional operations. Management has shifted emphasis from acquisition-led expansion toward operational turnaround, FCF discipline and return improvement. Alignment is supported by SCG ownership and dividend policy, while integration execution across ASEAN remains important.</x:v>
      </x:c>
      <x:c r="B30" s="26" t="str">
        <x:v>Integrated packaging, fiber/paper and recycling across ASEAN. Moat: มี — regional scale, customer relationships, recycling network, manufacturing footprint, procurement and integrated solutions. Durability medium-high because commodity paper spreads still affect margins.</x:v>
      </x:c>
      <x:c r="C30" s="26" t="str">
        <x:v>Packaging demand grows with e-commerce, food/beverage, consumer goods and regional manufacturing. Runway comes from Vietnam/Indonesia growth, integrated solutions, recycling and capacity optimization rather than just adding volume.</x:v>
      </x:c>
      <x:c r="D30" s="26" t="str">
        <x:v>Indonesia turnaround; continued Vietnam growth; lower cost volatility; capacity expansion; integrated solutions; dividend. Probability high / impact medium-high over 6-24 months.</x:v>
      </x:c>
      <x:c r="E30" s="26" t="str">
        <x:v>Compare with regional packaging peers on volume, EBITDA margin, ROIC, recycling mix, FCF, leverage and EV/EBITDA. SCGP's ASEAN footprint is a scale advantage; cyclicality in paper/fiber limits pricing power.</x:v>
      </x:c>
      <x:c r="F30" s="26" t="str">
        <x:v>1H26 revenue THB62.1bn -3.4% YoY but NPAT THB3.87bn +102.6%; Q2 NPAT THB2.30bn. Margin recovery is driven by Indonesia turnaround, Vietnam strength and cost normalization.</x:v>
      </x:c>
      <x:c r="G30" s="26" t="str">
        <x:v>Environmental/recycling rules, forestry certification, waste management, energy cost and trade rules matter. Regulation can be a moat for compliant large-scale players but raises capex and sourcing requirements.</x:v>
      </x:c>
      <x:c r="H30" s="26" t="str">
        <x:v>Narrative is 'ASEAN packaging recovery + FCF discipline'. Sentiment improving after Indonesia turned profitable and earnings doubled YoY. Story is middle-stage recovery.</x:v>
      </x:c>
      <x:c r="I30" s="26" t="str">
        <x:v>21.5x P/E / 10.5x EV/EBITDA = Fair Value. Multiple expansion needs sustainable ROIC/FCF improvement; otherwise return should come from earnings growth and dividends.</x:v>
      </x:c>
      <x:c r="J30" s="26" t="str">
        <x:v>Base: moderate demand + normalized margins. Bull: stronger ASEAN demand and Indonesia/Vietnam execution. Bear: weak consumption/paper spreads. 3-5y value depends on ROIC from regional assets.</x:v>
      </x:c>
      <x:c r="K30" s="26" t="str">
        <x:v>Risks: weak ASEAN consumption, paper/fiber spreads, integration, FX, leverage/capex. Monitor EBITDA margin, FCF, Indonesia/Vietnam profitability, net debt and capacity utilization.</x:v>
      </x:c>
      <x:c r="L30" s="26" t="str">
        <x:v>Regional packaging scale, customer integration and recycling network provide durable competitive economics, with clear recovery catalysts.</x:v>
      </x:c>
      <x:c r="M30" s="26" t="str">
        <x:v>Revenue is still soft and packaging remains cyclical; if Indonesia turnaround fades, valuation could compress.</x:v>
      </x:c>
      <x:c r="N30" s="26" t="str"/>
      <x:c r="O30" s="137" t="str">
        <x:v>Market believes SCGP is recovering after a difficult regional packaging cycle.</x:v>
      </x:c>
      <x:c r="P30" s="26" t="str">
        <x:v>Market may underprice sustainable Indonesia/Vietnam margin normalization, but may overestimate how quickly revenue growth returns.</x:v>
      </x:c>
      <x:c r="Q30" s="26" t="str">
        <x:v>Sales volume, EBITDA margin, Indonesia/Vietnam profit, OCC/paper prices, FCF, net debt, dividend.</x:v>
      </x:c>
      <x:c r="R30" s="26" t="str">
        <x:v>Quality/recovery industrial investor comfortable with ASEAN cyclicality.</x:v>
      </x:c>
      <x:c r="S30" s="26" t="str">
        <x:v>SCGP ฟื้นกำไรชัดมากแม้รายได้ยังลด จุดชี้ขาดคือ Margin/FCF ต้องยืนได้หลัง Indonesia Turnaround ไม่ใช่แค่ one-off recovery.</x:v>
      </x:c>
      <x:c r="T30" s="26" t="str">
        <x:v>https://www.set.or.th/en/market/product/stock/quote/SCGP/factsheet | https://www.set.or.th/en/market/news-and-alert/newsdetails?id=105624000&amp;symbol=SCGP | https://newsroom.scgpackaging.com/en/news/scgp-announces-q2-profit/</x:v>
      </x:c>
      <x:c r="U30" s="26" t="str">
        <x:v>มี</x:v>
      </x:c>
      <x:c r="V30" s="26" t="str">
        <x:v>ASEAN manufacturing scale, customer relationships, recycling network and integrated packaging solutions create durable but not monopoly-like advantages.</x:v>
      </x:c>
      <x:c r="W30" s="26" t="str">
        <x:v>เทียบกับ Regional Packaging peers ด้วย Volume, EBITDA Margin, ROIC, FCF, Recycling Mix, Net Debt/EBITDA และ EV/EBITDA.</x:v>
      </x:c>
      <x:c r="X30" s="26"/>
    </x:row>
    <x:row r="31" ht="72" customHeight="1">
      <x:c r="A31" s="26" t="str">
        <x:v>MINT</x:v>
      </x:c>
      <x:c r="B31" s="26" t="str">
        <x:v>Founder-led global hospitality/food group with professional management; key capital-allocation issue is deleveraging after global expansion.</x:v>
      </x:c>
      <x:c r="C31" s="26" t="str">
        <x:v>Hotels + restaurants. Moat: มี — brands, locations, distribution/loyalty, operating know-how and global scale.</x:v>
      </x:c>
      <x:c r="D31" s="26" t="str">
        <x:v>Large global travel/food TAM; runway from RevPAR, asset-light management contracts, Europe/Asia recovery and food growth.</x:v>
      </x:c>
      <x:c r="E31" s="26" t="str">
        <x:v>RevPAR/ADR, asset-light expansion, food recovery, lower finance cost, deleveraging, asset recycling. 6-36m medium-high/high.</x:v>
      </x:c>
      <x:c r="F31" s="26" t="str">
        <x:v>Compare with global hotels on RevPAR, ADR, occupancy, EBITDA margin, asset-light mix, FCF and net debt/EBITDA.</x:v>
      </x:c>
      <x:c r="G31" s="26" t="str">
        <x:v>1H26 revenue THB80.68bn +3.9%, EBITDA THB21.69bn and NPAT THB3.96bn +13.0%; operating leverage + lower finance cost are working.</x:v>
      </x:c>
      <x:c r="H31" s="26" t="str">
        <x:v>Hotel/food licensing, labor, data/privacy, tourism and country tax rules; scarce locations and scale are barriers.</x:v>
      </x:c>
      <x:c r="I31" s="26" t="str">
        <x:v>Narrative: global tourism compounder + deleveraging. Sentiment cautious due Europe/FX/leverage.</x:v>
      </x:c>
      <x:c r="J31" s="26" t="str">
        <x:v>12.1x P/E and 7.0x EV/EBITDA look Cheap versus tourism peers; re-rating requires sustained FCF and lower leverage.</x:v>
      </x:c>
      <x:c r="K31" s="26" t="str">
        <x:v>Base: steady RevPAR/food growth + deleveraging. Bull: stronger travel + asset-light. Bear: recession/FX/geopolitics. 3-5y depends on asset-light ROIC.</x:v>
      </x:c>
      <x:c r="L31" s="26" t="str">
        <x:v>Risks: leverage/refinancing, Europe demand, FX, travel shocks, labor inflation. Monitor RevPAR, ADR, occupancy, FCF, leverage, finance cost.</x:v>
      </x:c>
      <x:c r="M31" s="26" t="str">
        <x:v>Global brands/locations and operating capability support long-duration growth; valuation leaves upside if deleveraging persists.</x:v>
      </x:c>
      <x:c r="N31" s="26" t="str">
        <x:v>High leverage and owned-hotel exposure amplify downturns; tourism/FX shocks can reverse operating leverage.</x:v>
      </x:c>
      <x:c r="O31" s="137"/>
      <x:c r="P31" s="26" t="str">
        <x:v>Market believes MINT has recovered structurally but deserves a leverage/Europe discount.</x:v>
      </x:c>
      <x:c r="Q31" s="26" t="str">
        <x:v>Market may underprice asset-light growth and deleveraging torque.</x:v>
      </x:c>
      <x:c r="R31" s="26" t="str">
        <x:v>RevPAR, ADR, occupancy, food SSSG, EBITDA margin, FCF, net debt/EBITDA, finance cost.</x:v>
      </x:c>
      <x:c r="S31" s="26" t="str">
        <x:v>Global tourism/value investor comfortable with leverage and FX.</x:v>
      </x:c>
      <x:c r="T31" s="26" t="str">
        <x:v>MINT Earnings โตเร็วกว่ารายได้และ Valuation ต่ำกว่ากลุ่ม แต่ Upside จะยั่งยืนเมื่อ FCF + Deleveraging เดินหน้าต่อ.</x:v>
      </x:c>
      <x:c r="U31" s="26" t="str">
        <x:v>https://www.set.or.th/en/market/product/stock/quote/MINT/factsheet | https://www.set.or.th/en/market/news-and-alert/newsdetails?id=105707100&amp;symbol=MINT | https://www.set.or.th/en/market/product/stock/quote/MINT/financial-statement/company-highlights</x:v>
      </x:c>
      <x:c r="V31" s="26" t="str">
        <x:v>มี</x:v>
      </x:c>
      <x:c r="W31" s="26" t="str">
        <x:v>Global hotel/food brands, locations, distribution, loyalty and operating know-how create durable scale advantages.</x:v>
      </x:c>
      <x:c r="X31" s="26" t="str">
        <x:v>เทียบกับ Global Hotel peers ด้วย RevPAR, ADR, Occupancy, EBITDA Margin, Asset-light Mix, FCF และ Net Debt/EBITDA.</x:v>
      </x:c>
    </x:row>
    <x:row r="32" ht="72" customHeight="1">
      <x:c r="A32" s="26" t="str">
        <x:v>TISCO</x:v>
      </x:c>
      <x:c r="B32" s="26" t="str">
        <x:v>Professionally managed financial group with conservative underwriting and strong capital-return culture.</x:v>
      </x:c>
      <x:c r="C32" s="26" t="str">
        <x:v>Auto finance, wealth, brokerage, asset management and bancassurance. Moat: มีบางส่วน — auto franchise, wealth relationships, underwriting discipline and brand.</x:v>
      </x:c>
      <x:c r="D32" s="26" t="str">
        <x:v>Mature banking TAM; runway from EV/new-car finance, wealth/insurance and capital markets rather than large loan growth.</x:v>
      </x:c>
      <x:c r="E32" s="26" t="str">
        <x:v>Auto/EV recovery, bancassurance, capital markets, stable credit cost, dividends. 6-24m medium-high/medium.</x:v>
      </x:c>
      <x:c r="F32" s="26" t="str">
        <x:v>Compare on ROE, NIM, NPL, coverage, CAR, fee mix and P/BV; Debt/EBITDA = N/A.</x:v>
      </x:c>
      <x:c r="G32" s="26" t="str">
        <x:v>1H26 NPAT THB3.50bn +6.4%; NPL 2.12%, coverage 190%. NII/fees recovered while credit cost stayed controlled.</x:v>
      </x:c>
      <x:c r="H32" s="26" t="str">
        <x:v>BOT capital/liquidity, responsible lending, auto consumer rules and cyber/data regulation.</x:v>
      </x:c>
      <x:c r="I32" s="26" t="str">
        <x:v>Narrative: high-ROE dividend bank. Sentiment positive; valuation already reflects quality.</x:v>
      </x:c>
      <x:c r="J32" s="26" t="str">
        <x:v>14.4x P/E and 2.33x P/BV = Expensive for Thai banking; further re-rating is difficult without earnings surprise.</x:v>
      </x:c>
      <x:c r="K32" s="26" t="str">
        <x:v>Base: stable profit + high payout. Bull: auto/fee recovery. Bear: used-car collateral/credit loss worsens. 3-5y returns likely dividend-heavy.</x:v>
      </x:c>
      <x:c r="L32" s="26" t="str">
        <x:v>Risks: auto-credit cycle, used-car prices, funding/NIM, low loan growth, premium valuation. Monitor NPL, coverage, ROE, CAR, payout.</x:v>
      </x:c>
      <x:c r="M32" s="26" t="str">
        <x:v>Disciplined underwriting, high coverage and payout culture support resilient returns.</x:v>
      </x:c>
      <x:c r="N32" s="26" t="str">
        <x:v>Premium valuation and auto concentration leave limited room for credit disappointment.</x:v>
      </x:c>
      <x:c r="O32" s="137"/>
      <x:c r="P32" s="26" t="str">
        <x:v>Market believes TISCO deserves a premium for ROE, dividend and risk discipline.</x:v>
      </x:c>
      <x:c r="Q32" s="26" t="str">
        <x:v>Market may underprice fee/wealth upside, but much of quality is already priced in.</x:v>
      </x:c>
      <x:c r="R32" s="26" t="str">
        <x:v>NPL, coverage, credit cost, auto growth, NIM, ROE, CAR, fee income, dividend.</x:v>
      </x:c>
      <x:c r="S32" s="26" t="str">
        <x:v>Income/quality bank investor focused on dividends.</x:v>
      </x:c>
      <x:c r="T32" s="26" t="str">
        <x:v>TISCO คุณภาพดีและปันผลเด่น แต่ราคาไม่ถูกแล้ว — Return ควรมาจาก Dividend + Earnings มากกว่า Multiple Expansion.</x:v>
      </x:c>
      <x:c r="U32" s="26" t="str">
        <x:v>https://www.set.or.th/en/market/product/stock/quote/TISCO/factsheet | https://www.set.or.th/en/market/news-and-alert/newsdetails?id=105408900&amp;symbol=TISCO | https://www.tisco.co.th/th/news/20260714-20260416-tisco-announces-q2-2026</x:v>
      </x:c>
      <x:c r="V32" s="26" t="str">
        <x:v>มีบางส่วน</x:v>
      </x:c>
      <x:c r="W32" s="26" t="str">
        <x:v>Auto-finance/wealth franchise, underwriting discipline and brand are advantages, but scale/funding moat is lower than large banks.</x:v>
      </x:c>
      <x:c r="X32" s="26" t="str">
        <x:v>เทียบกับ Banking/Auto Finance peers ด้วย ROE, NIM, NPL, Coverage, CAR, Fee Mix, P/BV และ Dividend Yield.</x:v>
      </x:c>
    </x:row>
    <x:row r="33" ht="72" customHeight="1">
      <x:c r="A33" s="26" t="str">
        <x:v>AWC</x:v>
      </x:c>
      <x:c r="B33" s="26" t="str">
        <x:v>TCC Group-controlled hospitality/property platform; strategy is long-duration asset development and ramp-up of high-quality tourism assets.</x:v>
      </x:c>
      <x:c r="C33" s="26" t="str">
        <x:v>Luxury hotels, commercial properties and mixed-use destinations. Moat: มีบางส่วน — prime locations, TCC land bank/ecosystem and global hotel-brand partnerships.</x:v>
      </x:c>
      <x:c r="D33" s="26" t="str">
        <x:v>Runway from tourism, luxury/MICE, commercial space and converting underutilized assets into higher-return destinations.</x:v>
      </x:c>
      <x:c r="E33" s="26" t="str">
        <x:v>Hotel ramp-up, tourism, new openings, RevPAR/occupancy, NAV realization, lower funding cost. 1-5y medium-high/high.</x:v>
      </x:c>
      <x:c r="F33" s="26" t="str">
        <x:v>Compare on RevPAR, occupancy, EBITDA margin, NAV, debt/EBITDA, ROIC and project pipeline.</x:v>
      </x:c>
      <x:c r="G33" s="26" t="str">
        <x:v>1H26 attributable NPAT THB3.45bn +2.4%; earnings growth is modest versus invested-asset scale, so utilization/asset maturity are key.</x:v>
      </x:c>
      <x:c r="H33" s="26" t="str">
        <x:v>Zoning, hotel licensing, environmental approvals, property tax and tourism rules; scarce land and approvals create barriers.</x:v>
      </x:c>
      <x:c r="I33" s="26" t="str">
        <x:v>Narrative: asset ramp-up + tourism/NAV. Sentiment constructive, but cash conversion remains the debate.</x:v>
      </x:c>
      <x:c r="J33" s="26" t="str">
        <x:v>~15.3x P/E, ~1.0x P/BV and ~15.5x EV/EBITDA = Fair Value if EBITDA ramps. Need proof NAV converts to cash ROIC.</x:v>
      </x:c>
      <x:c r="K33" s="26" t="str">
        <x:v>Base: gradual RevPAR/occupancy ramp. Bull: stronger tourism + faster maturation. Bear: capex/funding rises while ramp-up is slow.</x:v>
      </x:c>
      <x:c r="L33" s="26" t="str">
        <x:v>Risks: leverage/funding, project ramp-up, tourism cycle, execution across many assets. Monitor RevPAR, occupancy, EBITDA, CFO, debt/EBITDA, capex.</x:v>
      </x:c>
      <x:c r="M33" s="26" t="str">
        <x:v>Prime assets and land pipeline create long-duration NAV optionality.</x:v>
      </x:c>
      <x:c r="N33" s="26" t="str">
        <x:v>Large capex and long ramp-up periods can keep cash returns below cost of capital.</x:v>
      </x:c>
      <x:c r="O33" s="137"/>
      <x:c r="P33" s="26" t="str">
        <x:v>Market believes AWC owns attractive tourism assets but requires patience.</x:v>
      </x:c>
      <x:c r="Q33" s="26" t="str">
        <x:v>Market may underprice long-duration land optionality while underestimating funding cost/time-to-ROIC.</x:v>
      </x:c>
      <x:c r="R33" s="26" t="str">
        <x:v>RevPAR, occupancy, EBITDA margin, project openings, operating cash flow, debt/EBITDA, capex, ROIC/NAV.</x:v>
      </x:c>
      <x:c r="S33" s="26" t="str">
        <x:v>Long-duration property/tourism investor comfortable with leverage and development risk.</x:v>
      </x:c>
      <x:c r="T33" s="26" t="str">
        <x:v>AWC เป็น Asset/NAV Story มากกว่า Earnings Compounder ตอนนี้ จุดชี้ขาดคือทรัพย์สินใหม่ต้องเปลี่ยนเป็น EBITDA/ROIC ที่สูงพอ.</x:v>
      </x:c>
      <x:c r="U33" s="26" t="str">
        <x:v>https://www.set.or.th/en/market/product/stock/quote/AWC/factsheet | https://www.set.or.th/en/market/news-and-alert/newsdetails?id=106186900&amp;symbol=AWC | https://www.set.or.th/en/market/news-and-alert/newsdetails?id=106187000&amp;symbol=AWC</x:v>
      </x:c>
      <x:c r="V33" s="26" t="str">
        <x:v>มีบางส่วน</x:v>
      </x:c>
      <x:c r="W33" s="26" t="str">
        <x:v>Prime assets, TCC land bank/ecosystem and global hotel-brand partnerships create barriers, but monetization depends on execution.</x:v>
      </x:c>
      <x:c r="X33" s="26" t="str">
        <x:v>เทียบกับ Hotel/Property peers ด้วย RevPAR, Occupancy, EBITDA Margin, NAV, ROIC, Debt/EBITDA, Capex และ Ramp-up.</x:v>
      </x:c>
    </x:row>
    <x:row r="34" ht="72" customHeight="1">
      <x:c r="A34" s="26" t="str">
        <x:v>BEM</x:v>
      </x:c>
      <x:c r="B34" s="26" t="str">
        <x:v>Infrastructure operator with long experience in expressway and MRT concessions; value depends on concession economics and disciplined project execution.</x:v>
      </x:c>
      <x:c r="C34" s="26" t="str">
        <x:v>Expressways + MRT. Moat: มี — long-duration concessions, urban network effects, permits and huge replacement cost.</x:v>
      </x:c>
      <x:c r="D34" s="26" t="str">
        <x:v>Runway from traffic/ridership growth, network extensions, commercial income and new concessions.</x:v>
      </x:c>
      <x:c r="E34" s="26" t="str">
        <x:v>Ridership, expressway traffic, network extensions, concession extensions, lower rates. 1-5y medium-high/medium-high.</x:v>
      </x:c>
      <x:c r="F34" s="26" t="str">
        <x:v>Compare on traffic/ridership, EBITDA margin, concession life, debt service, ROIC, capex and EV/EBITDA.</x:v>
      </x:c>
      <x:c r="G34" s="26" t="str">
        <x:v>1H26 NPAT THB1.89bn +1.2%; revenue THB8.26bn, EBITDA THB4.48bn. Stable but modest growth emphasizes concession duration.</x:v>
      </x:c>
      <x:c r="H34" s="26" t="str">
        <x:v>Concession agreements, fares/tolls, PPP rules and government policy are both moat and risk.</x:v>
      </x:c>
      <x:c r="I34" s="26" t="str">
        <x:v>Narrative: urban infrastructure bond-proxy with growth optionality. Sentiment stable.</x:v>
      </x:c>
      <x:c r="J34" s="26" t="str">
        <x:v>~25x P/E / ~24x EV/EBITDA = Expensive on conventional multiples; DCF/concession life is more appropriate.</x:v>
      </x:c>
      <x:c r="K34" s="26" t="str">
        <x:v>Base: steady traffic/ridership. Bull: extensions/new projects. Bear: regulatory delay/capex with low return. 3-5y depends on concession value.</x:v>
      </x:c>
      <x:c r="L34" s="26" t="str">
        <x:v>Risks: concession/regulation, leverage/project finance, construction, traffic growth, valuation. Monitor ridership, traffic, EBITDA, debt service, concession life.</x:v>
      </x:c>
      <x:c r="M34" s="26" t="str">
        <x:v>Concessions and network effects create one of the stronger infrastructure moats in SET100.</x:v>
      </x:c>
      <x:c r="N34" s="26" t="str">
        <x:v>Premium valuation already prices much of the defensiveness; regulatory delays can cap returns.</x:v>
      </x:c>
      <x:c r="O34" s="137"/>
      <x:c r="P34" s="26" t="str">
        <x:v>Market believes BEM deserves a premium for predictable infrastructure cash flow.</x:v>
      </x:c>
      <x:c r="Q34" s="26" t="str">
        <x:v>Market may underprice network-extension value, but overpaying for defensiveness is a risk.</x:v>
      </x:c>
      <x:c r="R34" s="26" t="str">
        <x:v>Traffic, ridership, fare/toll changes, EBITDA, debt service, concession expiry/extensions, capex.</x:v>
      </x:c>
      <x:c r="S34" s="26" t="str">
        <x:v>Defensive infrastructure investor willing to accept regulated returns and premium valuation.</x:v>
      </x:c>
      <x:c r="T34" s="26" t="str">
        <x:v>BEM Moat แข็งมากจาก Concession + Network แต่หุ้นต้องดูแบบ DCF เพราะ Multiple สูงสะท้อนความ Defensive ไปเยอะแล้ว.</x:v>
      </x:c>
      <x:c r="U34" s="26" t="str">
        <x:v>https://www.set.or.th/en/market/product/stock/quote/BEM/factsheet | https://www.set.or.th/en/market/news-and-alert/newsdetails?id=106053900&amp;symbol=BEM | https://www.set.or.th/en/market/product/stock/quote/BEM/financial-statement/financial-statements-analysis</x:v>
      </x:c>
      <x:c r="V34" s="26" t="str">
        <x:v>มี</x:v>
      </x:c>
      <x:c r="W34" s="26" t="str">
        <x:v>Long-duration expressway/MRT concessions, network effects, permits and replacement cost create very high entry barriers.</x:v>
      </x:c>
      <x:c r="X34" s="26" t="str">
        <x:v>เทียบกับ Toll Road/Rail peers ด้วย Traffic/Ridership, EBITDA Margin, Concession Life, Debt Service, ROIC, Capex และ EV/EBITDA.</x:v>
      </x:c>
    </x:row>
    <x:row r="35" ht="72" customHeight="1">
      <x:c r="A35" s="26" t="str">
        <x:v>Founder/family-influenced electronics manufacturer with long export track record. Management has strong PCB manufacturing experience, but recent stock rerating raises the burden of execution. Capital allocation is conservative with net cash.</x:v>
      </x:c>
      <x:c r="B35" s="26" t="str">
        <x:v>High-end printed circuit boards for automotive, industrial and electronics customers. Moat: มี — customer qualification, process know-how, quality/reliability standards, long product cycles and export relationships. Durability medium-high, especially in automotive-grade PCB.</x:v>
      </x:c>
      <x:c r="C35" s="26" t="str">
        <x:v>Runway comes from EV/ADAS, automotive electronics, data connectivity and higher electronic content per vehicle. TAM is structurally attractive, but customer cycles and FX create volatility.</x:v>
      </x:c>
      <x:c r="D35" s="26" t="str">
        <x:v>Automotive electronics demand; utilization recovery; product mix; baht weakness; new capacity productivity; margin normalization. Probability medium-high / impact high over 6-24 months.</x:v>
      </x:c>
      <x:c r="E35" s="26" t="str">
        <x:v>Compare with PCB/electronic component peers on revenue growth, gross margin, utilization, ROIC, net cash and EV/EBITDA. KCE's automotive qualification is an advantage; scale is smaller than global leaders.</x:v>
      </x:c>
      <x:c r="F35" s="26" t="str">
        <x:v>Q2 NPAT THB276m +51.5% YoY; 1H26 THB510m +23.8%. Earnings are recovering, but current TTM EBITDA remains low relative to market value, implying expectations well ahead of present fundamentals.</x:v>
      </x:c>
      <x:c r="G35" s="26" t="str">
        <x:v>Trade policy, export controls, automotive standards, environmental/chemical rules and FX are key. Qualification standards create barriers, while tariffs/geopolitics can disrupt sourcing and customer demand.</x:v>
      </x:c>
      <x:c r="H35" s="26" t="str">
        <x:v>Narrative is 'automotive electronics recovery / EV optionality'. Sentiment is very positive after a sharp share-price rerating; story is late-middle rather than early.</x:v>
      </x:c>
      <x:c r="I35" s="26" t="str">
        <x:v>100x P/E / 42.5x EV/EBITDA = Very Expensive. Even strong earnings growth may not offset multiple compression if expectations normalize.</x:v>
      </x:c>
      <x:c r="J35" s="26" t="str">
        <x:v>Base: earnings recover with auto cycle. Bull: EV/ADAS mix + utilization lift. Bear: auto slowdown/baht appreciation + multiple de-rating. 3-5y returns depend on real earnings catching up to valuation.</x:v>
      </x:c>
      <x:c r="K35" s="26" t="str">
        <x:v>Risks: valuation (high/high), auto cycle (medium-high/high), FX (high/medium), customer concentration (medium/high), technology/capacity execution (medium/medium).</x:v>
      </x:c>
      <x:c r="L35" s="26" t="str">
        <x:v>Automotive-grade qualification and engineering know-how provide a real moat and structural electronics growth exposure.</x:v>
      </x:c>
      <x:c r="M35" s="26" t="str">
        <x:v>Valuation is extremely demanding versus current earnings/EBITDA; the company can execute well while the stock still delivers poor returns.</x:v>
      </x:c>
      <x:c r="N35" s="26" t="str"/>
      <x:c r="O35" s="137" t="str">
        <x:v>Market believes KCE is entering a strong automotive-electronics recovery with EV/ADAS growth.</x:v>
      </x:c>
      <x:c r="P35" s="26" t="str">
        <x:v>Market may be pricing the recovery too far forward and underestimating valuation compression risk.</x:v>
      </x:c>
      <x:c r="Q35" s="26" t="str">
        <x:v>Orders, utilization, gross margin, automotive share, EUR/USD/THB, capex, customer concentration, P/E/EV-EBITDA.</x:v>
      </x:c>
      <x:c r="R35" s="26" t="str">
        <x:v>High-growth investor with very high tolerance for valuation risk.</x:v>
      </x:c>
      <x:c r="S35" s="26" t="str">
        <x:v>KCE Business Quality ดีและมี Automotive PCB Moat แต่ราคาหุ้นสะท้อนอนาคตไปมาก ต้องแยก 'บริษัทดี' ออกจาก 'หุ้นราคาดี'.</x:v>
      </x:c>
      <x:c r="T35" s="26" t="str">
        <x:v>https://www.set.or.th/en/market/product/stock/quote/KCE/factsheet | https://www.set.or.th/en/market/news-and-alert/newsdetails?id=105907100&amp;symbol=KCE | http://www.kcethai.in.th</x:v>
      </x:c>
      <x:c r="U35" s="26" t="str">
        <x:v>มี</x:v>
      </x:c>
      <x:c r="V35" s="26" t="str">
        <x:v>Automotive qualification, engineering/process know-how, quality standards and long customer relationships create meaningful switching barriers.</x:v>
      </x:c>
      <x:c r="W35" s="26" t="str">
        <x:v>เทียบกับ PCB/Electronic Components peers ด้วย Revenue Growth, Gross Margin, Utilization, ROIC, Net Cash และ EV/EBITDA.</x:v>
      </x:c>
      <x:c r="X35" s="26"/>
    </x:row>
    <x:row r="36" ht="72" customHeight="1">
      <x:c r="A36" s="26" t="str">
        <x:v>KTB is the major shareholder, while professional management has built a high-ROE consumer-finance franchise. Management emphasizes disciplined underwriting, collections, digital/data use and capital efficiency. Alignment is strong on profitability and asset quality.</x:v>
      </x:c>
      <x:c r="B36" s="26" t="str">
        <x:v>Credit cards, personal loans, merchant acquiring/payment and related financial services. Moat: มี — brand, merchant network, customer data, risk models, collection capability and KTB ecosystem. Durability high if underwriting discipline is maintained.</x:v>
      </x:c>
      <x:c r="C36" s="26" t="str">
        <x:v>Thai consumer credit TAM is mature but KTC can gain share through card spending, digital engagement, merchant acquiring and selective personal-loan growth. Growth should be quality-led rather than balance-sheet-led.</x:v>
      </x:c>
      <x:c r="D36" s="26" t="str">
        <x:v>Credit-card spending growth; personal-loan growth; merchant acquiring; lower credit cost; digital/data monetization; dividends. Probability high / impact medium over 6-24 months.</x:v>
      </x:c>
      <x:c r="E36" s="26" t="str">
        <x:v>Compare with consumer-finance/credit-card peers on ROE, NPL, coverage, credit cost, cost/income, receivable growth and P/BV. KTC's credit quality and collection efficiency are key advantages.</x:v>
      </x:c>
      <x:c r="F36" s="26" t="str">
        <x:v>1H26 NPAT THB4.40bn +17.1% YoY. Loan portfolio THB107.7bn +0.6%; card spending +4.7%. NPL 1.86%, coverage 426.3%, credit cost 5.0%, ROE ~20%.</x:v>
      </x:c>
      <x:c r="G36" s="26" t="str">
        <x:v>BOT consumer-finance rules, interest-rate caps, responsible lending, data privacy and cyber regulation are central. Regulation caps pricing but also raises entry barriers and rewards efficient risk management.</x:v>
      </x:c>
      <x:c r="H36" s="26" t="str">
        <x:v>Narrative is 'high-ROE, high-quality consumer finance'. Sentiment positive but less speculative than growth-finance names because investors focus on credit quality and capital returns.</x:v>
      </x:c>
      <x:c r="I36" s="26" t="str">
        <x:v>10.7x P/E / 2.05x P/BV = Fair Value for ~20% ROE and very strong coverage. Re-rating needs faster quality growth, not looser underwriting.</x:v>
      </x:c>
      <x:c r="J36" s="26" t="str">
        <x:v>Base: modest portfolio growth + stable credit cost. Bull: spending/loan growth accelerates with stable NPL. Bear: household stress raises credit cost. 3-5y depends on ROE durability and digital distribution.</x:v>
      </x:c>
      <x:c r="K36" s="26" t="str">
        <x:v>Risks: household debt (medium-high/high), regulatory rate caps (medium/high), credit-cost normalization (medium/high), funding cost (medium/medium), growth saturation (medium/medium).</x:v>
      </x:c>
      <x:c r="L36" s="26" t="str">
        <x:v>High ROE, strong reserve coverage and disciplined risk management support durable compounding without requiring aggressive leverage.</x:v>
      </x:c>
      <x:c r="M36" s="26" t="str">
        <x:v>Thai household debt and regulatory caps can constrain growth; premium P/BV can compress if ROE or asset quality weakens.</x:v>
      </x:c>
      <x:c r="N36" s="26" t="str"/>
      <x:c r="O36" s="137" t="str">
        <x:v>Market believes KTC is one of Thailand's highest-quality consumer-finance franchises.</x:v>
      </x:c>
      <x:c r="P36" s="26" t="str">
        <x:v>Market may underprice merchant/data monetization, while underestimating long-term saturation in consumer credit.</x:v>
      </x:c>
      <x:c r="Q36" s="26" t="str">
        <x:v>NPL, coverage, credit cost, card spending, receivables growth, ROE, cost/income, funding cost.</x:v>
      </x:c>
      <x:c r="R36" s="26" t="str">
        <x:v>Quality financial investor prioritizing ROE and asset quality over rapid loan growth.</x:v>
      </x:c>
      <x:c r="S36" s="26" t="str">
        <x:v>KTC จุดเด่นไม่ใช่โตเร็วที่สุด แต่คือ ROE ~20% + NPL ต่ำ + Coverage สูงมาก ถ้าโตโดยไม่เสียคุณภาพ Valuation ปัจจุบันยังรับได้.</x:v>
      </x:c>
      <x:c r="T36" s="26" t="str">
        <x:v>https://www.set.or.th/en/market/product/stock/quote/KTC/factsheet | https://www.set.or.th/en/market/news-and-alert/newsdetails?id=105460300&amp;symbol=KTC | https://www.ktc.co.th/en/news/corporate/ktc-performance-q2-2026</x:v>
      </x:c>
      <x:c r="U36" s="26" t="str">
        <x:v>มี</x:v>
      </x:c>
      <x:c r="V36" s="26" t="str">
        <x:v>Merchant network, customer data, underwriting/collection capability, brand and KTB ecosystem create durable risk/distribution advantages.</x:v>
      </x:c>
      <x:c r="W36" s="26" t="str">
        <x:v>เทียบกับ Consumer Finance/Credit Card peers ด้วย ROE, NPL, Coverage, Credit Cost, Cost/Income, Receivable Growth และ P/BV.</x:v>
      </x:c>
      <x:c r="X36" s="26"/>
    </x:row>
    <x:row r="37" ht="72" customHeight="1">
      <x:c r="A37" s="26" t="str">
        <x:v>Founder-led home-improvement retailer with experienced professional management and long track record of disciplined store expansion, private-label development and service integration. Capital allocation is conservative and shareholder alignment is supported by steady dividends.</x:v>
      </x:c>
      <x:c r="B37" s="26" t="str">
        <x:v>Home improvement, appliances, renovation products/services and Mega Home. Moat: มี — brand, store network, procurement scale, private label, service capability, logistics and customer trust. Durability high in Thailand.</x:v>
      </x:c>
      <x:c r="C37" s="26" t="str">
        <x:v>Thai home-improvement TAM grows with housing renovation, aging housing stock, appliances, contractor/professional demand and regional expansion. Runway is more productivity/mix than aggressive store growth.</x:v>
      </x:c>
      <x:c r="D37" s="26" t="str">
        <x:v>Consumption recovery; Q2 profit momentum; private-label mix; Mega Home productivity; tourism/provincial demand; lower rates. Probability medium / impact medium over 6-24 months.</x:v>
      </x:c>
      <x:c r="E37" s="26" t="str">
        <x:v>Compare with home-improvement retailers on SSSG, gross margin, inventory turns, sales/sqm, ROIC, FCF and EV/EBITDA. HMPRO's brand/service/private-label mix are key strengths.</x:v>
      </x:c>
      <x:c r="F37" s="26" t="str">
        <x:v>Q2 NPAT THB1.59bn +14.0% YoY, but 1H26 NPAT THB3.00bn -3.5%. This suggests sequential recovery while weak domestic consumption still weighs on the first half.</x:v>
      </x:c>
      <x:c r="G37" s="26" t="str">
        <x:v>Consumer protection, product safety, labor, zoning, data/privacy and import/tariff rules matter. Regulation is mainly compliance cost; scale and trusted service are practical barriers.</x:v>
      </x:c>
      <x:c r="H37" s="26" t="str">
        <x:v>Narrative is 'defensive retail recovery'. Sentiment neutral-positive after Q2 improvement, but investors remain cautious on Thai household spending.</x:v>
      </x:c>
      <x:c r="I37" s="26" t="str">
        <x:v>14.0x P/E / 9.1x EV/EBITDA = Fair Value, below historical premium but not distressed. Upside requires SSSG and margin improvement.</x:v>
      </x:c>
      <x:c r="J37" s="26" t="str">
        <x:v>Base: flat-to-low SSSG + stable margin. Bull: consumption/renovation recovery and private-label mix. Bear: prolonged weak housing/consumption. 3-5y depends on store productivity/ROIC.</x:v>
      </x:c>
      <x:c r="K37" s="26" t="str">
        <x:v>Risks: weak household demand (high/medium), housing cycle (medium/medium), price competition (medium/medium), inventory execution (medium/medium), wage/logistics costs (medium/medium).</x:v>
      </x:c>
      <x:c r="L37" s="26" t="str">
        <x:v>Trusted brand, national network, service capability and private labels create resilient economics through consumer cycles.</x:v>
      </x:c>
      <x:c r="M37" s="26" t="str">
        <x:v>Structural growth is moderate; if Thai consumption stays weak, the historical premium multiple may not return.</x:v>
      </x:c>
      <x:c r="N37" s="26" t="str"/>
      <x:c r="O37" s="137" t="str">
        <x:v>Market believes HMPRO is a high-quality but mature retailer waiting for domestic consumption recovery.</x:v>
      </x:c>
      <x:c r="P37" s="26" t="str">
        <x:v>Market may underprice operating leverage from private label/service and Mega Home productivity.</x:v>
      </x:c>
      <x:c r="Q37" s="26" t="str">
        <x:v>SSSG, gross margin, inventory days, sales/sqm, Mega Home performance, FCF, ROIC, dividend.</x:v>
      </x:c>
      <x:c r="R37" s="26" t="str">
        <x:v>Defensive consumer/quality investor seeking stable cash flow and moderate growth.</x:v>
      </x:c>
      <x:c r="S37" s="26" t="str">
        <x:v>HMPRO ไม่ใช่ High Growth แต่เป็น Quality Retail: Q2 ฟื้นดี แต่ต้องเห็น SSSG/กำไร 2H26 ยืนยันว่าการฟื้นไม่ใช่แค่ฐานต่ำ.</x:v>
      </x:c>
      <x:c r="T37" s="26" t="str">
        <x:v>https://www.set.or.th/en/market/product/stock/quote/HMPRO/factsheet | https://www.set.or.th/en/market/news-and-alert/newsdetails?id=105535400&amp;symbol=HMPRO | https://hmpro.listedcompany.com/</x:v>
      </x:c>
      <x:c r="U37" s="26" t="str">
        <x:v>มี</x:v>
      </x:c>
      <x:c r="V37" s="26" t="str">
        <x:v>Brand, nationwide stores, procurement, private label, services/logistics and customer trust create durable retail advantages.</x:v>
      </x:c>
      <x:c r="W37" s="26" t="str">
        <x:v>เทียบกับ Home Improvement Retail peers ด้วย SSSG, Gross Margin, Inventory Turns, Sales/Sqm, ROIC, FCF และ EV/EBITDA.</x:v>
      </x:c>
      <x:c r="X37" s="26"/>
    </x:row>
    <x:row r="38" ht="72" customHeight="1">
      <x:c r="A38" s="26" t="str">
        <x:v>State-linked power holding company with EGAT as strategic shareholder and professional utility management. Capital allocation emphasizes contracted projects, geographic diversification and dividends; holding-company complexity and project leverage require discipline.</x:v>
      </x:c>
      <x:c r="B38" s="26" t="str">
        <x:v>Power generation portfolio across thermal, gas and renewable assets plus related infrastructure. Moat: มี — long-term PPAs, permits, financing access, operating expertise and strategic relationships. Durability high at asset level.</x:v>
      </x:c>
      <x:c r="C38" s="26" t="str">
        <x:v>Power demand is mature domestically, but runway comes from renewables, overseas projects, acquisitions and adjacent energy/infrastructure businesses. Growth is capital-intensive and should be judged by ROIC.</x:v>
      </x:c>
      <x:c r="D38" s="26" t="str">
        <x:v>New project CODs; renewable capacity; lower rates; asset recycling; dividend; power-demand recovery. Probability medium / impact medium over 1-5 years.</x:v>
      </x:c>
      <x:c r="E38" s="26" t="str">
        <x:v>Compare with IPP/utility peers on contracted MW, availability, EBITDA/ROIC, net debt, credit rating, dividend and P/BV. RATCH has diversified contracted assets but lower growth than aggressive developers.</x:v>
      </x:c>
      <x:c r="F38" s="26" t="str">
        <x:v>1H26 revenue THB23.21bn but net profit THB2.63bn -19.8% YoY. Earnings can vary with associate/JV contributions, outages and accounting items; cash distributions from projects are more important than consolidated revenue alone.</x:v>
      </x:c>
      <x:c r="G38" s="26" t="str">
        <x:v>PPA/tariff rules, environmental/carbon standards, permits and cross-border power policies are central. Regulation is both moat and constraint because returns are contractually/regulatorily shaped.</x:v>
      </x:c>
      <x:c r="H38" s="26" t="str">
        <x:v>Narrative is 'high-dividend contracted utility / asset value'. Sentiment neutral-positive as investors favor defensiveness, but growth remains modest.</x:v>
      </x:c>
      <x:c r="I38" s="26" t="str">
        <x:v>14.7x P/E / 0.82x P/BV = Cheap on asset value, but EV/EBITDA is less straightforward for an equity-accounted power holding company. Expected return is mainly dividend + book-value growth.</x:v>
      </x:c>
      <x:c r="J38" s="26" t="str">
        <x:v>Base: stable project cash flow + dividend. Bull: new projects/renewables + lower rates. Bear: outages/project delays/rising leverage. 3-5y value depends on ROIC of new investments.</x:v>
      </x:c>
      <x:c r="K38" s="26" t="str">
        <x:v>Risks: project execution (medium/high), leverage/refinancing (medium/high), regulation/PPA (medium/medium), FX/cross-border (medium/medium), low growth (high/medium).</x:v>
      </x:c>
      <x:c r="L38" s="26" t="str">
        <x:v>Contracted cash flows, diversified assets and sub-book valuation provide downside support and dividend visibility.</x:v>
      </x:c>
      <x:c r="M38" s="26" t="str">
        <x:v>Cheap P/BV can persist if ROIC stays low or new projects dilute returns; holding-company structure can obscure cash conversion.</x:v>
      </x:c>
      <x:c r="N38" s="26" t="str"/>
      <x:c r="O38" s="137" t="str">
        <x:v>Market believes RATCH is a defensive, high-dividend utility with limited growth.</x:v>
      </x:c>
      <x:c r="P38" s="26" t="str">
        <x:v>Market may underprice asset value and lower-rate benefit, but may overestimate the value of growth projects if ROIC is weak.</x:v>
      </x:c>
      <x:c r="Q38" s="26" t="str">
        <x:v>Equity MW, project availability, associate/JV profit, project dividends, net debt, credit rating, dividend payout, P/BV.</x:v>
      </x:c>
      <x:c r="R38" s="26" t="str">
        <x:v>Income/value utility investor prioritizing defensive cash flow over high growth.</x:v>
      </x:c>
      <x:c r="S38" s="26" t="str">
        <x:v>RATCH เหมาะกับมุม Income/Asset Value มากกว่า Growth ราคาต่ำกว่า Book ช่วยพยุง แต่ต้องติดตาม ROIC ของโครงการใหม่และการแปลงกำไรเป็นเงินปันผล.</x:v>
      </x:c>
      <x:c r="T38" s="26" t="str">
        <x:v>https://www.set.or.th/en/market/product/stock/quote/RATCH/factsheet | https://lssmedia.setlink.set.or.th/2026/6M/RATCH-6M69-ListedCompanySnapshot-TH.html | https://www.ratch.co.th/en/investor-relations/home</x:v>
      </x:c>
      <x:c r="U38" s="26" t="str">
        <x:v>มี</x:v>
      </x:c>
      <x:c r="V38" s="26" t="str">
        <x:v>Long-term PPAs, permits, utility expertise, financing access and strategic relationships create high infrastructure/regulatory barriers.</x:v>
      </x:c>
      <x:c r="W38" s="26" t="str">
        <x:v>เทียบกับ IPP/Utility peers ด้วย Contracted MW, Availability, ROIC, Net Debt/Credit Rating, Dividend Yield และ P/BV.</x:v>
      </x:c>
      <x:c r="X38" s="26"/>
    </x:row>
    <x:row r="39" ht="72" customHeight="1">
      <x:c r="A39" s="23" t="str"/>
      <x:c r="B39" s="23" t="str"/>
      <x:c r="C39" s="23" t="str"/>
      <x:c r="D39" s="23" t="str"/>
      <x:c r="E39" s="23" t="str"/>
      <x:c r="F39" s="23" t="str"/>
      <x:c r="G39" s="23" t="str"/>
      <x:c r="H39" s="23" t="str"/>
      <x:c r="I39" s="23" t="str"/>
      <x:c r="J39" s="23" t="str"/>
      <x:c r="K39" s="23" t="str"/>
      <x:c r="L39" s="23" t="str"/>
      <x:c r="M39" s="23" t="str"/>
      <x:c r="N39" s="23" t="str"/>
      <x:c r="O39" s="125" t="str"/>
      <x:c r="P39" s="23"/>
      <x:c r="Q39" s="23"/>
      <x:c r="R39" s="23"/>
      <x:c r="S39" s="23"/>
      <x:c r="T39" s="23"/>
      <x:c r="U39" s="23"/>
      <x:c r="V39" s="23"/>
      <x:c r="W39" s="23"/>
      <x:c r="X39" s="23"/>
    </x:row>
    <x:row r="40" ht="72" customHeight="1">
      <x:c r="A40" s="23" t="str"/>
      <x:c r="B40" s="23" t="str"/>
      <x:c r="C40" s="23" t="str"/>
      <x:c r="D40" s="23" t="str"/>
      <x:c r="E40" s="23" t="str"/>
      <x:c r="F40" s="23" t="str"/>
      <x:c r="G40" s="23" t="str"/>
      <x:c r="H40" s="23" t="str"/>
      <x:c r="I40" s="23" t="str"/>
      <x:c r="J40" s="23" t="str"/>
      <x:c r="K40" s="23" t="str"/>
      <x:c r="L40" s="23" t="str"/>
      <x:c r="M40" s="23" t="str"/>
      <x:c r="N40" s="23" t="str"/>
      <x:c r="O40" s="125" t="str"/>
      <x:c r="P40" s="23"/>
      <x:c r="Q40" s="23"/>
      <x:c r="R40" s="23"/>
      <x:c r="S40" s="23"/>
      <x:c r="T40" s="23"/>
      <x:c r="U40" s="23"/>
      <x:c r="V40" s="23"/>
      <x:c r="W40" s="23"/>
      <x:c r="X40" s="23"/>
    </x:row>
    <x:row r="41" ht="72" customHeight="1">
      <x:c r="A41" s="23" t="str"/>
      <x:c r="B41" s="23" t="str"/>
      <x:c r="C41" s="23" t="str"/>
      <x:c r="D41" s="23" t="str"/>
      <x:c r="E41" s="23" t="str"/>
      <x:c r="F41" s="23" t="str"/>
      <x:c r="G41" s="23" t="str"/>
      <x:c r="H41" s="23" t="str"/>
      <x:c r="I41" s="23" t="str"/>
      <x:c r="J41" s="23" t="str"/>
      <x:c r="K41" s="23" t="str"/>
      <x:c r="L41" s="23" t="str"/>
      <x:c r="M41" s="23" t="str"/>
      <x:c r="N41" s="23" t="str"/>
      <x:c r="O41" s="125" t="str"/>
      <x:c r="P41" s="23"/>
      <x:c r="Q41" s="23"/>
      <x:c r="R41" s="23"/>
      <x:c r="S41" s="23"/>
      <x:c r="T41" s="23"/>
      <x:c r="U41" s="23"/>
      <x:c r="V41" s="23"/>
      <x:c r="W41" s="23"/>
      <x:c r="X41" s="23"/>
    </x:row>
    <x:row r="42" ht="72" customHeight="1">
      <x:c r="A42" s="23" t="str"/>
      <x:c r="B42" s="23" t="str"/>
      <x:c r="C42" s="23" t="str"/>
      <x:c r="D42" s="23" t="str"/>
      <x:c r="E42" s="23" t="str"/>
      <x:c r="F42" s="23" t="str"/>
      <x:c r="G42" s="23" t="str"/>
      <x:c r="H42" s="23" t="str"/>
      <x:c r="I42" s="23" t="str"/>
      <x:c r="J42" s="23" t="str"/>
      <x:c r="K42" s="23" t="str"/>
      <x:c r="L42" s="23" t="str"/>
      <x:c r="M42" s="23" t="str"/>
      <x:c r="N42" s="23" t="str"/>
      <x:c r="O42" s="125" t="str"/>
      <x:c r="P42" s="23"/>
      <x:c r="Q42" s="23"/>
      <x:c r="R42" s="23"/>
      <x:c r="S42" s="23"/>
      <x:c r="T42" s="23"/>
      <x:c r="U42" s="23"/>
      <x:c r="V42" s="23"/>
      <x:c r="W42" s="23"/>
      <x:c r="X42" s="23"/>
    </x:row>
    <x:row r="43" ht="72" customHeight="1">
      <x:c r="A43" s="23" t="str"/>
      <x:c r="B43" s="23" t="str"/>
      <x:c r="C43" s="23" t="str"/>
      <x:c r="D43" s="23" t="str"/>
      <x:c r="E43" s="23" t="str"/>
      <x:c r="F43" s="23" t="str"/>
      <x:c r="G43" s="23" t="str"/>
      <x:c r="H43" s="23" t="str"/>
      <x:c r="I43" s="23" t="str"/>
      <x:c r="J43" s="23" t="str"/>
      <x:c r="K43" s="23" t="str"/>
      <x:c r="L43" s="23" t="str"/>
      <x:c r="M43" s="23" t="str"/>
      <x:c r="N43" s="23" t="str"/>
      <x:c r="O43" s="125" t="str"/>
      <x:c r="P43" s="23"/>
      <x:c r="Q43" s="23"/>
      <x:c r="R43" s="23"/>
      <x:c r="S43" s="23"/>
      <x:c r="T43" s="23"/>
      <x:c r="U43" s="23"/>
      <x:c r="V43" s="23"/>
      <x:c r="W43" s="23"/>
      <x:c r="X43" s="23"/>
    </x:row>
    <x:row r="44" ht="72" customHeight="1">
      <x:c r="A44" s="23" t="str"/>
      <x:c r="B44" s="23" t="str"/>
      <x:c r="C44" s="23" t="str"/>
      <x:c r="D44" s="23" t="str"/>
      <x:c r="E44" s="23" t="str"/>
      <x:c r="F44" s="23" t="str"/>
      <x:c r="G44" s="23" t="str"/>
      <x:c r="H44" s="23" t="str"/>
      <x:c r="I44" s="23" t="str"/>
      <x:c r="J44" s="23" t="str"/>
      <x:c r="K44" s="23" t="str"/>
      <x:c r="L44" s="23" t="str"/>
      <x:c r="M44" s="23" t="str"/>
      <x:c r="N44" s="23" t="str"/>
      <x:c r="O44" s="125" t="str"/>
      <x:c r="P44" s="23"/>
      <x:c r="Q44" s="23"/>
      <x:c r="R44" s="23"/>
      <x:c r="S44" s="23"/>
      <x:c r="T44" s="23"/>
      <x:c r="U44" s="23"/>
      <x:c r="V44" s="23"/>
      <x:c r="W44" s="23"/>
      <x:c r="X44" s="23"/>
    </x:row>
    <x:row r="45" ht="72" customHeight="1">
      <x:c r="A45" s="23" t="str"/>
      <x:c r="B45" s="23" t="str"/>
      <x:c r="C45" s="23" t="str"/>
      <x:c r="D45" s="23" t="str"/>
      <x:c r="E45" s="23" t="str"/>
      <x:c r="F45" s="23" t="str"/>
      <x:c r="G45" s="23" t="str"/>
      <x:c r="H45" s="23" t="str"/>
      <x:c r="I45" s="23" t="str"/>
      <x:c r="J45" s="23" t="str"/>
      <x:c r="K45" s="23" t="str"/>
      <x:c r="L45" s="23" t="str"/>
      <x:c r="M45" s="23" t="str"/>
      <x:c r="N45" s="23" t="str"/>
      <x:c r="O45" s="125" t="str"/>
      <x:c r="P45" s="23"/>
      <x:c r="Q45" s="23"/>
      <x:c r="R45" s="23"/>
      <x:c r="S45" s="23"/>
      <x:c r="T45" s="23"/>
      <x:c r="U45" s="23"/>
      <x:c r="V45" s="23"/>
      <x:c r="W45" s="23"/>
      <x:c r="X45" s="23"/>
    </x:row>
    <x:row r="46" ht="72" customHeight="1">
      <x:c r="A46" s="23" t="str"/>
      <x:c r="B46" s="23" t="str"/>
      <x:c r="C46" s="23" t="str"/>
      <x:c r="D46" s="23" t="str"/>
      <x:c r="E46" s="23" t="str"/>
      <x:c r="F46" s="23" t="str"/>
      <x:c r="G46" s="23" t="str"/>
      <x:c r="H46" s="23" t="str"/>
      <x:c r="I46" s="23" t="str"/>
      <x:c r="J46" s="23" t="str"/>
      <x:c r="K46" s="23" t="str"/>
      <x:c r="L46" s="23" t="str"/>
      <x:c r="M46" s="23" t="str"/>
      <x:c r="N46" s="23" t="str"/>
      <x:c r="O46" s="125" t="str"/>
      <x:c r="P46" s="23"/>
      <x:c r="Q46" s="23"/>
      <x:c r="R46" s="23"/>
      <x:c r="S46" s="23"/>
      <x:c r="T46" s="23"/>
      <x:c r="U46" s="23"/>
      <x:c r="V46" s="23"/>
      <x:c r="W46" s="23"/>
      <x:c r="X46" s="23"/>
    </x:row>
    <x:row r="47" ht="72" customHeight="1">
      <x:c r="A47" s="23" t="str"/>
      <x:c r="B47" s="23" t="str"/>
      <x:c r="C47" s="23" t="str"/>
      <x:c r="D47" s="23" t="str"/>
      <x:c r="E47" s="23" t="str"/>
      <x:c r="F47" s="23" t="str"/>
      <x:c r="G47" s="23" t="str"/>
      <x:c r="H47" s="23" t="str"/>
      <x:c r="I47" s="23" t="str"/>
      <x:c r="J47" s="23" t="str"/>
      <x:c r="K47" s="23" t="str"/>
      <x:c r="L47" s="23" t="str"/>
      <x:c r="M47" s="23" t="str"/>
      <x:c r="N47" s="23" t="str"/>
      <x:c r="O47" s="125" t="str"/>
      <x:c r="P47" s="23"/>
      <x:c r="Q47" s="23"/>
      <x:c r="R47" s="23"/>
      <x:c r="S47" s="23"/>
      <x:c r="T47" s="23"/>
      <x:c r="U47" s="23"/>
      <x:c r="V47" s="23"/>
      <x:c r="W47" s="23"/>
      <x:c r="X47" s="23"/>
    </x:row>
    <x:row r="48" ht="72" customHeight="1">
      <x:c r="A48" s="23" t="str"/>
      <x:c r="B48" s="23" t="str"/>
      <x:c r="C48" s="23" t="str"/>
      <x:c r="D48" s="23" t="str"/>
      <x:c r="E48" s="23" t="str"/>
      <x:c r="F48" s="23" t="str"/>
      <x:c r="G48" s="23" t="str"/>
      <x:c r="H48" s="23" t="str"/>
      <x:c r="I48" s="23" t="str"/>
      <x:c r="J48" s="23" t="str"/>
      <x:c r="K48" s="23" t="str"/>
      <x:c r="L48" s="23" t="str"/>
      <x:c r="M48" s="23" t="str"/>
      <x:c r="N48" s="23" t="str"/>
      <x:c r="O48" s="125" t="str"/>
      <x:c r="P48" s="23"/>
      <x:c r="Q48" s="23"/>
      <x:c r="R48" s="23"/>
      <x:c r="S48" s="23"/>
      <x:c r="T48" s="23"/>
      <x:c r="U48" s="23"/>
      <x:c r="V48" s="23"/>
      <x:c r="W48" s="23"/>
      <x:c r="X48" s="23"/>
    </x:row>
    <x:row r="49" ht="72" customHeight="1">
      <x:c r="A49" s="23" t="str"/>
      <x:c r="B49" s="23" t="str"/>
      <x:c r="C49" s="23" t="str"/>
      <x:c r="D49" s="23" t="str"/>
      <x:c r="E49" s="23" t="str"/>
      <x:c r="F49" s="23" t="str"/>
      <x:c r="G49" s="23" t="str"/>
      <x:c r="H49" s="23" t="str"/>
      <x:c r="I49" s="23" t="str"/>
      <x:c r="J49" s="23" t="str"/>
      <x:c r="K49" s="23" t="str"/>
      <x:c r="L49" s="23" t="str"/>
      <x:c r="M49" s="23" t="str"/>
      <x:c r="N49" s="23" t="str"/>
      <x:c r="O49" s="125" t="str"/>
      <x:c r="P49" s="23"/>
      <x:c r="Q49" s="23"/>
      <x:c r="R49" s="23"/>
      <x:c r="S49" s="23"/>
      <x:c r="T49" s="23"/>
      <x:c r="U49" s="23"/>
      <x:c r="V49" s="23"/>
      <x:c r="W49" s="23"/>
      <x:c r="X49" s="23"/>
    </x:row>
    <x:row r="50" ht="72" customHeight="1">
      <x:c r="A50" s="23" t="str"/>
      <x:c r="B50" s="23" t="str"/>
      <x:c r="C50" s="23" t="str"/>
      <x:c r="D50" s="23" t="str"/>
      <x:c r="E50" s="23" t="str"/>
      <x:c r="F50" s="23" t="str"/>
      <x:c r="G50" s="23" t="str"/>
      <x:c r="H50" s="23" t="str"/>
      <x:c r="I50" s="23" t="str"/>
      <x:c r="J50" s="23" t="str"/>
      <x:c r="K50" s="23" t="str"/>
      <x:c r="L50" s="23" t="str"/>
      <x:c r="M50" s="23" t="str"/>
      <x:c r="N50" s="23" t="str"/>
      <x:c r="O50" s="125" t="str"/>
      <x:c r="P50" s="23"/>
      <x:c r="Q50" s="23"/>
      <x:c r="R50" s="23"/>
      <x:c r="S50" s="23"/>
      <x:c r="T50" s="23"/>
      <x:c r="U50" s="23"/>
      <x:c r="V50" s="23"/>
      <x:c r="W50" s="23"/>
      <x:c r="X50" s="23"/>
    </x:row>
    <x:row r="51" ht="72" customHeight="1">
      <x:c r="A51" s="23" t="str"/>
      <x:c r="B51" s="23" t="str"/>
      <x:c r="C51" s="23" t="str"/>
      <x:c r="D51" s="23" t="str"/>
      <x:c r="E51" s="23" t="str"/>
      <x:c r="F51" s="23" t="str"/>
      <x:c r="G51" s="23" t="str"/>
      <x:c r="H51" s="23" t="str"/>
      <x:c r="I51" s="23" t="str"/>
      <x:c r="J51" s="23" t="str"/>
      <x:c r="K51" s="23" t="str"/>
      <x:c r="L51" s="23" t="str"/>
      <x:c r="M51" s="23" t="str"/>
      <x:c r="N51" s="23" t="str"/>
      <x:c r="O51" s="125" t="str"/>
      <x:c r="P51" s="23"/>
      <x:c r="Q51" s="23"/>
      <x:c r="R51" s="23"/>
      <x:c r="S51" s="23"/>
      <x:c r="T51" s="23"/>
      <x:c r="U51" s="23"/>
      <x:c r="V51" s="23"/>
      <x:c r="W51" s="23"/>
      <x:c r="X51" s="23"/>
    </x:row>
    <x:row r="52" ht="72" customHeight="1">
      <x:c r="A52" s="23" t="str"/>
      <x:c r="B52" s="23" t="str"/>
      <x:c r="C52" s="23" t="str"/>
      <x:c r="D52" s="23" t="str"/>
      <x:c r="E52" s="23" t="str"/>
      <x:c r="F52" s="23" t="str"/>
      <x:c r="G52" s="23" t="str"/>
      <x:c r="H52" s="23" t="str"/>
      <x:c r="I52" s="23" t="str"/>
      <x:c r="J52" s="23" t="str"/>
      <x:c r="K52" s="23" t="str"/>
      <x:c r="L52" s="23" t="str"/>
      <x:c r="M52" s="23" t="str"/>
      <x:c r="N52" s="23" t="str"/>
      <x:c r="O52" s="125" t="str"/>
      <x:c r="P52" s="23"/>
      <x:c r="Q52" s="23"/>
      <x:c r="R52" s="23"/>
      <x:c r="S52" s="23"/>
      <x:c r="T52" s="23"/>
      <x:c r="U52" s="23"/>
      <x:c r="V52" s="23"/>
      <x:c r="W52" s="23"/>
      <x:c r="X52" s="23"/>
    </x:row>
    <x:row r="53" ht="72" customHeight="1">
      <x:c r="A53" s="23" t="str"/>
      <x:c r="B53" s="23" t="str"/>
      <x:c r="C53" s="23" t="str"/>
      <x:c r="D53" s="23" t="str"/>
      <x:c r="E53" s="23" t="str"/>
      <x:c r="F53" s="23" t="str"/>
      <x:c r="G53" s="23" t="str"/>
      <x:c r="H53" s="23" t="str"/>
      <x:c r="I53" s="23" t="str"/>
      <x:c r="J53" s="23" t="str"/>
      <x:c r="K53" s="23" t="str"/>
      <x:c r="L53" s="23" t="str"/>
      <x:c r="M53" s="23" t="str"/>
      <x:c r="N53" s="23" t="str"/>
      <x:c r="O53" s="125" t="str"/>
      <x:c r="P53" s="23"/>
      <x:c r="Q53" s="23"/>
      <x:c r="R53" s="23"/>
      <x:c r="S53" s="23"/>
      <x:c r="T53" s="23"/>
      <x:c r="U53" s="23"/>
      <x:c r="V53" s="23"/>
      <x:c r="W53" s="23"/>
      <x:c r="X53" s="23"/>
    </x:row>
    <x:row r="54" ht="72" customHeight="1">
      <x:c r="A54" s="23" t="str"/>
      <x:c r="B54" s="23" t="str"/>
      <x:c r="C54" s="23" t="str"/>
      <x:c r="D54" s="23" t="str"/>
      <x:c r="E54" s="23" t="str"/>
      <x:c r="F54" s="23" t="str"/>
      <x:c r="G54" s="23" t="str"/>
      <x:c r="H54" s="23" t="str"/>
      <x:c r="I54" s="23" t="str"/>
      <x:c r="J54" s="23" t="str"/>
      <x:c r="K54" s="23" t="str"/>
      <x:c r="L54" s="23" t="str"/>
      <x:c r="M54" s="23" t="str"/>
      <x:c r="N54" s="23" t="str"/>
      <x:c r="O54" s="125" t="str"/>
      <x:c r="P54" s="23"/>
      <x:c r="Q54" s="23"/>
      <x:c r="R54" s="23"/>
      <x:c r="S54" s="23"/>
      <x:c r="T54" s="23"/>
      <x:c r="U54" s="23"/>
      <x:c r="V54" s="23"/>
      <x:c r="W54" s="23"/>
      <x:c r="X54" s="23"/>
    </x:row>
    <x:row r="55" ht="72" customHeight="1">
      <x:c r="A55" s="23" t="str"/>
      <x:c r="B55" s="23" t="str"/>
      <x:c r="C55" s="23" t="str"/>
      <x:c r="D55" s="23" t="str"/>
      <x:c r="E55" s="23" t="str"/>
      <x:c r="F55" s="23" t="str"/>
      <x:c r="G55" s="23" t="str"/>
      <x:c r="H55" s="23" t="str"/>
      <x:c r="I55" s="23" t="str"/>
      <x:c r="J55" s="23" t="str"/>
      <x:c r="K55" s="23" t="str"/>
      <x:c r="L55" s="23" t="str"/>
      <x:c r="M55" s="23" t="str"/>
      <x:c r="N55" s="23" t="str"/>
      <x:c r="O55" s="125" t="str"/>
      <x:c r="P55" s="23"/>
      <x:c r="Q55" s="23"/>
      <x:c r="R55" s="23"/>
      <x:c r="S55" s="23"/>
      <x:c r="T55" s="23"/>
      <x:c r="U55" s="23"/>
      <x:c r="V55" s="23"/>
      <x:c r="W55" s="23"/>
      <x:c r="X55" s="23"/>
    </x:row>
    <x:row r="56" ht="72" customHeight="1">
      <x:c r="A56" s="23" t="str"/>
      <x:c r="B56" s="23" t="str"/>
      <x:c r="C56" s="23" t="str"/>
      <x:c r="D56" s="23" t="str"/>
      <x:c r="E56" s="23" t="str"/>
      <x:c r="F56" s="23" t="str"/>
      <x:c r="G56" s="23" t="str"/>
      <x:c r="H56" s="23" t="str"/>
      <x:c r="I56" s="23" t="str"/>
      <x:c r="J56" s="23" t="str"/>
      <x:c r="K56" s="23" t="str"/>
      <x:c r="L56" s="23" t="str"/>
      <x:c r="M56" s="23" t="str"/>
      <x:c r="N56" s="23" t="str"/>
      <x:c r="O56" s="125" t="str"/>
      <x:c r="P56" s="23"/>
      <x:c r="Q56" s="23"/>
      <x:c r="R56" s="23"/>
      <x:c r="S56" s="23"/>
      <x:c r="T56" s="23"/>
      <x:c r="U56" s="23"/>
      <x:c r="V56" s="23"/>
      <x:c r="W56" s="23"/>
      <x:c r="X56" s="23"/>
    </x:row>
    <x:row r="57" ht="72" customHeight="1">
      <x:c r="A57" s="23" t="str"/>
      <x:c r="B57" s="23" t="str"/>
      <x:c r="C57" s="23" t="str"/>
      <x:c r="D57" s="23" t="str"/>
      <x:c r="E57" s="23" t="str"/>
      <x:c r="F57" s="23" t="str"/>
      <x:c r="G57" s="23" t="str"/>
      <x:c r="H57" s="23" t="str"/>
      <x:c r="I57" s="23" t="str"/>
      <x:c r="J57" s="23" t="str"/>
      <x:c r="K57" s="23" t="str"/>
      <x:c r="L57" s="23" t="str"/>
      <x:c r="M57" s="23" t="str"/>
      <x:c r="N57" s="23" t="str"/>
      <x:c r="O57" s="125" t="str"/>
      <x:c r="P57" s="23"/>
      <x:c r="Q57" s="23"/>
      <x:c r="R57" s="23"/>
      <x:c r="S57" s="23"/>
      <x:c r="T57" s="23"/>
      <x:c r="U57" s="23"/>
      <x:c r="V57" s="23"/>
      <x:c r="W57" s="23"/>
      <x:c r="X57" s="23"/>
    </x:row>
    <x:row r="58" ht="72" customHeight="1">
      <x:c r="A58" s="23" t="str"/>
      <x:c r="B58" s="23" t="str"/>
      <x:c r="C58" s="23" t="str"/>
      <x:c r="D58" s="23" t="str"/>
      <x:c r="E58" s="23" t="str"/>
      <x:c r="F58" s="23" t="str"/>
      <x:c r="G58" s="23" t="str"/>
      <x:c r="H58" s="23" t="str"/>
      <x:c r="I58" s="23" t="str"/>
      <x:c r="J58" s="23" t="str"/>
      <x:c r="K58" s="23" t="str"/>
      <x:c r="L58" s="23" t="str"/>
      <x:c r="M58" s="23" t="str"/>
      <x:c r="N58" s="23" t="str"/>
      <x:c r="O58" s="125" t="str"/>
      <x:c r="P58" s="23"/>
      <x:c r="Q58" s="23"/>
      <x:c r="R58" s="23"/>
      <x:c r="S58" s="23"/>
      <x:c r="T58" s="23"/>
      <x:c r="U58" s="23"/>
      <x:c r="V58" s="23"/>
      <x:c r="W58" s="23"/>
      <x:c r="X58" s="23"/>
    </x:row>
    <x:row r="59" ht="72" customHeight="1">
      <x:c r="A59" s="23" t="str"/>
      <x:c r="B59" s="23" t="str"/>
      <x:c r="C59" s="23" t="str"/>
      <x:c r="D59" s="23" t="str"/>
      <x:c r="E59" s="23" t="str"/>
      <x:c r="F59" s="23" t="str"/>
      <x:c r="G59" s="23" t="str"/>
      <x:c r="H59" s="23" t="str"/>
      <x:c r="I59" s="23" t="str"/>
      <x:c r="J59" s="23" t="str"/>
      <x:c r="K59" s="23" t="str"/>
      <x:c r="L59" s="23" t="str"/>
      <x:c r="M59" s="23" t="str"/>
      <x:c r="N59" s="23" t="str"/>
      <x:c r="O59" s="125" t="str"/>
      <x:c r="P59" s="23"/>
      <x:c r="Q59" s="23"/>
      <x:c r="R59" s="23"/>
      <x:c r="S59" s="23"/>
      <x:c r="T59" s="23"/>
      <x:c r="U59" s="23"/>
      <x:c r="V59" s="23"/>
      <x:c r="W59" s="23"/>
      <x:c r="X59" s="23"/>
    </x:row>
    <x:row r="60" ht="72" customHeight="1">
      <x:c r="A60" s="23" t="str"/>
      <x:c r="B60" s="23" t="str"/>
      <x:c r="C60" s="23" t="str"/>
      <x:c r="D60" s="23" t="str"/>
      <x:c r="E60" s="23" t="str"/>
      <x:c r="F60" s="23" t="str"/>
      <x:c r="G60" s="23" t="str"/>
      <x:c r="H60" s="23" t="str"/>
      <x:c r="I60" s="23" t="str"/>
      <x:c r="J60" s="23" t="str"/>
      <x:c r="K60" s="23" t="str"/>
      <x:c r="L60" s="23" t="str"/>
      <x:c r="M60" s="23" t="str"/>
      <x:c r="N60" s="23" t="str"/>
      <x:c r="O60" s="125" t="str"/>
      <x:c r="P60" s="23"/>
      <x:c r="Q60" s="23"/>
      <x:c r="R60" s="23"/>
      <x:c r="S60" s="23"/>
      <x:c r="T60" s="23"/>
      <x:c r="U60" s="23"/>
      <x:c r="V60" s="23"/>
      <x:c r="W60" s="23"/>
      <x:c r="X60" s="23"/>
    </x:row>
    <x:row r="61" ht="72" customHeight="1">
      <x:c r="A61" s="23" t="str"/>
      <x:c r="B61" s="23" t="str"/>
      <x:c r="C61" s="23" t="str"/>
      <x:c r="D61" s="23" t="str"/>
      <x:c r="E61" s="23" t="str"/>
      <x:c r="F61" s="23" t="str"/>
      <x:c r="G61" s="23" t="str"/>
      <x:c r="H61" s="23" t="str"/>
      <x:c r="I61" s="23" t="str"/>
      <x:c r="J61" s="23" t="str"/>
      <x:c r="K61" s="23" t="str"/>
      <x:c r="L61" s="23" t="str"/>
      <x:c r="M61" s="23" t="str"/>
      <x:c r="N61" s="23" t="str"/>
      <x:c r="O61" s="125" t="str"/>
      <x:c r="P61" s="23"/>
      <x:c r="Q61" s="23"/>
      <x:c r="R61" s="23"/>
      <x:c r="S61" s="23"/>
      <x:c r="T61" s="23"/>
      <x:c r="U61" s="23"/>
      <x:c r="V61" s="23"/>
      <x:c r="W61" s="23"/>
      <x:c r="X61" s="23"/>
    </x:row>
    <x:row r="62" ht="72" customHeight="1">
      <x:c r="A62" s="23" t="str"/>
      <x:c r="B62" s="23" t="str"/>
      <x:c r="C62" s="23" t="str"/>
      <x:c r="D62" s="23" t="str"/>
      <x:c r="E62" s="23" t="str"/>
      <x:c r="F62" s="23" t="str"/>
      <x:c r="G62" s="23" t="str"/>
      <x:c r="H62" s="23" t="str"/>
      <x:c r="I62" s="23" t="str"/>
      <x:c r="J62" s="23" t="str"/>
      <x:c r="K62" s="23" t="str"/>
      <x:c r="L62" s="23" t="str"/>
      <x:c r="M62" s="23" t="str"/>
      <x:c r="N62" s="23" t="str"/>
      <x:c r="O62" s="125" t="str"/>
      <x:c r="P62" s="23"/>
      <x:c r="Q62" s="23"/>
      <x:c r="R62" s="23"/>
      <x:c r="S62" s="23"/>
      <x:c r="T62" s="23"/>
      <x:c r="U62" s="23"/>
      <x:c r="V62" s="23"/>
      <x:c r="W62" s="23"/>
      <x:c r="X62" s="23"/>
    </x:row>
    <x:row r="63" ht="72" customHeight="1">
      <x:c r="A63" s="23" t="str"/>
      <x:c r="B63" s="23" t="str"/>
      <x:c r="C63" s="23" t="str"/>
      <x:c r="D63" s="23" t="str"/>
      <x:c r="E63" s="23" t="str"/>
      <x:c r="F63" s="23" t="str"/>
      <x:c r="G63" s="23" t="str"/>
      <x:c r="H63" s="23" t="str"/>
      <x:c r="I63" s="23" t="str"/>
      <x:c r="J63" s="23" t="str"/>
      <x:c r="K63" s="23" t="str"/>
      <x:c r="L63" s="23" t="str"/>
      <x:c r="M63" s="23" t="str"/>
      <x:c r="N63" s="23" t="str"/>
      <x:c r="O63" s="125" t="str"/>
      <x:c r="P63" s="23"/>
      <x:c r="Q63" s="23"/>
      <x:c r="R63" s="23"/>
      <x:c r="S63" s="23"/>
      <x:c r="T63" s="23"/>
      <x:c r="U63" s="23"/>
      <x:c r="V63" s="23"/>
      <x:c r="W63" s="23"/>
      <x:c r="X63" s="23"/>
    </x:row>
    <x:row r="64" ht="72" customHeight="1">
      <x:c r="A64" s="23" t="str"/>
      <x:c r="B64" s="23" t="str"/>
      <x:c r="C64" s="23" t="str"/>
      <x:c r="D64" s="23" t="str"/>
      <x:c r="E64" s="23" t="str"/>
      <x:c r="F64" s="23" t="str"/>
      <x:c r="G64" s="23" t="str"/>
      <x:c r="H64" s="23" t="str"/>
      <x:c r="I64" s="23" t="str"/>
      <x:c r="J64" s="23" t="str"/>
      <x:c r="K64" s="23" t="str"/>
      <x:c r="L64" s="23" t="str"/>
      <x:c r="M64" s="23" t="str"/>
      <x:c r="N64" s="23" t="str"/>
      <x:c r="O64" s="125" t="str"/>
      <x:c r="P64" s="23"/>
      <x:c r="Q64" s="23"/>
      <x:c r="R64" s="23"/>
      <x:c r="S64" s="23"/>
      <x:c r="T64" s="23"/>
      <x:c r="U64" s="23"/>
      <x:c r="V64" s="23"/>
      <x:c r="W64" s="23"/>
      <x:c r="X64" s="23"/>
    </x:row>
    <x:row r="65" ht="72" customHeight="1">
      <x:c r="A65" s="23" t="str"/>
      <x:c r="B65" s="23" t="str"/>
      <x:c r="C65" s="23" t="str"/>
      <x:c r="D65" s="23" t="str"/>
      <x:c r="E65" s="23" t="str"/>
      <x:c r="F65" s="23" t="str"/>
      <x:c r="G65" s="23" t="str"/>
      <x:c r="H65" s="23" t="str"/>
      <x:c r="I65" s="23" t="str"/>
      <x:c r="J65" s="23" t="str"/>
      <x:c r="K65" s="23" t="str"/>
      <x:c r="L65" s="23" t="str"/>
      <x:c r="M65" s="23" t="str"/>
      <x:c r="N65" s="23" t="str"/>
      <x:c r="O65" s="125" t="str"/>
      <x:c r="P65" s="23"/>
      <x:c r="Q65" s="23"/>
      <x:c r="R65" s="23"/>
      <x:c r="S65" s="23"/>
      <x:c r="T65" s="23"/>
      <x:c r="U65" s="23"/>
      <x:c r="V65" s="23"/>
      <x:c r="W65" s="23"/>
      <x:c r="X65" s="23"/>
    </x:row>
    <x:row r="66" ht="72" customHeight="1">
      <x:c r="A66" s="23" t="str"/>
      <x:c r="B66" s="23" t="str"/>
      <x:c r="C66" s="23" t="str"/>
      <x:c r="D66" s="23" t="str"/>
      <x:c r="E66" s="23" t="str"/>
      <x:c r="F66" s="23" t="str"/>
      <x:c r="G66" s="23" t="str"/>
      <x:c r="H66" s="23" t="str"/>
      <x:c r="I66" s="23" t="str"/>
      <x:c r="J66" s="23" t="str"/>
      <x:c r="K66" s="23" t="str"/>
      <x:c r="L66" s="23" t="str"/>
      <x:c r="M66" s="23" t="str"/>
      <x:c r="N66" s="23" t="str"/>
      <x:c r="O66" s="125" t="str"/>
      <x:c r="P66" s="23"/>
      <x:c r="Q66" s="23"/>
      <x:c r="R66" s="23"/>
      <x:c r="S66" s="23"/>
      <x:c r="T66" s="23"/>
      <x:c r="U66" s="23"/>
      <x:c r="V66" s="23"/>
      <x:c r="W66" s="23"/>
      <x:c r="X66" s="23"/>
    </x:row>
    <x:row r="67" ht="72" customHeight="1">
      <x:c r="A67" s="23" t="str"/>
      <x:c r="B67" s="23" t="str"/>
      <x:c r="C67" s="23" t="str"/>
      <x:c r="D67" s="23" t="str"/>
      <x:c r="E67" s="23" t="str"/>
      <x:c r="F67" s="23" t="str"/>
      <x:c r="G67" s="23" t="str"/>
      <x:c r="H67" s="23" t="str"/>
      <x:c r="I67" s="23" t="str"/>
      <x:c r="J67" s="23" t="str"/>
      <x:c r="K67" s="23" t="str"/>
      <x:c r="L67" s="23" t="str"/>
      <x:c r="M67" s="23" t="str"/>
      <x:c r="N67" s="23" t="str"/>
      <x:c r="O67" s="125" t="str"/>
      <x:c r="P67" s="23"/>
      <x:c r="Q67" s="23"/>
      <x:c r="R67" s="23"/>
      <x:c r="S67" s="23"/>
      <x:c r="T67" s="23"/>
      <x:c r="U67" s="23"/>
      <x:c r="V67" s="23"/>
      <x:c r="W67" s="23"/>
      <x:c r="X67" s="23"/>
    </x:row>
    <x:row r="68" ht="72" customHeight="1">
      <x:c r="A68" s="23" t="str"/>
      <x:c r="B68" s="23" t="str"/>
      <x:c r="C68" s="23" t="str"/>
      <x:c r="D68" s="23" t="str"/>
      <x:c r="E68" s="23" t="str"/>
      <x:c r="F68" s="23" t="str"/>
      <x:c r="G68" s="23" t="str"/>
      <x:c r="H68" s="23" t="str"/>
      <x:c r="I68" s="23" t="str"/>
      <x:c r="J68" s="23" t="str"/>
      <x:c r="K68" s="23" t="str"/>
      <x:c r="L68" s="23" t="str"/>
      <x:c r="M68" s="23" t="str"/>
      <x:c r="N68" s="23" t="str"/>
      <x:c r="O68" s="125" t="str"/>
      <x:c r="P68" s="23"/>
      <x:c r="Q68" s="23"/>
      <x:c r="R68" s="23"/>
      <x:c r="S68" s="23"/>
      <x:c r="T68" s="23"/>
      <x:c r="U68" s="23"/>
      <x:c r="V68" s="23"/>
      <x:c r="W68" s="23"/>
      <x:c r="X68" s="23"/>
    </x:row>
    <x:row r="69" ht="72" customHeight="1">
      <x:c r="A69" s="23" t="str"/>
      <x:c r="B69" s="23" t="str"/>
      <x:c r="C69" s="23" t="str"/>
      <x:c r="D69" s="23" t="str"/>
      <x:c r="E69" s="23" t="str"/>
      <x:c r="F69" s="23" t="str"/>
      <x:c r="G69" s="23" t="str"/>
      <x:c r="H69" s="23" t="str"/>
      <x:c r="I69" s="23" t="str"/>
      <x:c r="J69" s="23" t="str"/>
      <x:c r="K69" s="23" t="str"/>
      <x:c r="L69" s="23" t="str"/>
      <x:c r="M69" s="23" t="str"/>
      <x:c r="N69" s="23" t="str"/>
      <x:c r="O69" s="125" t="str"/>
      <x:c r="P69" s="23"/>
      <x:c r="Q69" s="23"/>
      <x:c r="R69" s="23"/>
      <x:c r="S69" s="23"/>
      <x:c r="T69" s="23"/>
      <x:c r="U69" s="23"/>
      <x:c r="V69" s="23"/>
      <x:c r="W69" s="23"/>
      <x:c r="X69" s="23"/>
    </x:row>
    <x:row r="70" ht="72" customHeight="1">
      <x:c r="A70" s="23" t="str"/>
      <x:c r="B70" s="23" t="str"/>
      <x:c r="C70" s="23" t="str"/>
      <x:c r="D70" s="23" t="str"/>
      <x:c r="E70" s="23" t="str"/>
      <x:c r="F70" s="23" t="str"/>
      <x:c r="G70" s="23" t="str"/>
      <x:c r="H70" s="23" t="str"/>
      <x:c r="I70" s="23" t="str"/>
      <x:c r="J70" s="23" t="str"/>
      <x:c r="K70" s="23" t="str"/>
      <x:c r="L70" s="23" t="str"/>
      <x:c r="M70" s="23" t="str"/>
      <x:c r="N70" s="23" t="str"/>
      <x:c r="O70" s="125" t="str"/>
      <x:c r="P70" s="23"/>
      <x:c r="Q70" s="23"/>
      <x:c r="R70" s="23"/>
      <x:c r="S70" s="23"/>
      <x:c r="T70" s="23"/>
      <x:c r="U70" s="23"/>
      <x:c r="V70" s="23"/>
      <x:c r="W70" s="23"/>
      <x:c r="X70" s="23"/>
    </x:row>
    <x:row r="71" ht="72" customHeight="1">
      <x:c r="A71" s="23" t="str"/>
      <x:c r="B71" s="23" t="str"/>
      <x:c r="C71" s="23" t="str"/>
      <x:c r="D71" s="23" t="str"/>
      <x:c r="E71" s="23" t="str"/>
      <x:c r="F71" s="23" t="str"/>
      <x:c r="G71" s="23" t="str"/>
      <x:c r="H71" s="23" t="str"/>
      <x:c r="I71" s="23" t="str"/>
      <x:c r="J71" s="23" t="str"/>
      <x:c r="K71" s="23" t="str"/>
      <x:c r="L71" s="23" t="str"/>
      <x:c r="M71" s="23" t="str"/>
      <x:c r="N71" s="23" t="str"/>
      <x:c r="O71" s="125" t="str"/>
      <x:c r="P71" s="23"/>
      <x:c r="Q71" s="23"/>
      <x:c r="R71" s="23"/>
      <x:c r="S71" s="23"/>
      <x:c r="T71" s="23"/>
      <x:c r="U71" s="23"/>
      <x:c r="V71" s="23"/>
      <x:c r="W71" s="23"/>
      <x:c r="X71" s="23"/>
    </x:row>
    <x:row r="72" ht="72" customHeight="1">
      <x:c r="A72" s="23" t="str"/>
      <x:c r="B72" s="23" t="str"/>
      <x:c r="C72" s="23" t="str"/>
      <x:c r="D72" s="23" t="str"/>
      <x:c r="E72" s="23" t="str"/>
      <x:c r="F72" s="23" t="str"/>
      <x:c r="G72" s="23" t="str"/>
      <x:c r="H72" s="23" t="str"/>
      <x:c r="I72" s="23" t="str"/>
      <x:c r="J72" s="23" t="str"/>
      <x:c r="K72" s="23" t="str"/>
      <x:c r="L72" s="23" t="str"/>
      <x:c r="M72" s="23" t="str"/>
      <x:c r="N72" s="23" t="str"/>
      <x:c r="O72" s="125" t="str"/>
      <x:c r="P72" s="23"/>
      <x:c r="Q72" s="23"/>
      <x:c r="R72" s="23"/>
      <x:c r="S72" s="23"/>
      <x:c r="T72" s="23"/>
      <x:c r="U72" s="23"/>
      <x:c r="V72" s="23"/>
      <x:c r="W72" s="23"/>
      <x:c r="X72" s="23"/>
    </x:row>
    <x:row r="73" ht="72" customHeight="1">
      <x:c r="A73" s="23" t="str"/>
      <x:c r="B73" s="23" t="str"/>
      <x:c r="C73" s="23" t="str"/>
      <x:c r="D73" s="23" t="str"/>
      <x:c r="E73" s="23" t="str"/>
      <x:c r="F73" s="23" t="str"/>
      <x:c r="G73" s="23" t="str"/>
      <x:c r="H73" s="23" t="str"/>
      <x:c r="I73" s="23" t="str"/>
      <x:c r="J73" s="23" t="str"/>
      <x:c r="K73" s="23" t="str"/>
      <x:c r="L73" s="23" t="str"/>
      <x:c r="M73" s="23" t="str"/>
      <x:c r="N73" s="23" t="str"/>
      <x:c r="O73" s="125" t="str"/>
      <x:c r="P73" s="23"/>
      <x:c r="Q73" s="23"/>
      <x:c r="R73" s="23"/>
      <x:c r="S73" s="23"/>
      <x:c r="T73" s="23"/>
      <x:c r="U73" s="23"/>
      <x:c r="V73" s="23"/>
      <x:c r="W73" s="23"/>
      <x:c r="X73" s="23"/>
    </x:row>
    <x:row r="74" ht="72" customHeight="1">
      <x:c r="A74" s="23" t="str"/>
      <x:c r="B74" s="23" t="str"/>
      <x:c r="C74" s="23" t="str"/>
      <x:c r="D74" s="23" t="str"/>
      <x:c r="E74" s="23" t="str"/>
      <x:c r="F74" s="23" t="str"/>
      <x:c r="G74" s="23" t="str"/>
      <x:c r="H74" s="23" t="str"/>
      <x:c r="I74" s="23" t="str"/>
      <x:c r="J74" s="23" t="str"/>
      <x:c r="K74" s="23" t="str"/>
      <x:c r="L74" s="23" t="str"/>
      <x:c r="M74" s="23" t="str"/>
      <x:c r="N74" s="23" t="str"/>
      <x:c r="O74" s="125" t="str"/>
      <x:c r="P74" s="23"/>
      <x:c r="Q74" s="23"/>
      <x:c r="R74" s="23"/>
      <x:c r="S74" s="23"/>
      <x:c r="T74" s="23"/>
      <x:c r="U74" s="23"/>
      <x:c r="V74" s="23"/>
      <x:c r="W74" s="23"/>
      <x:c r="X74" s="23"/>
    </x:row>
    <x:row r="75" ht="72" customHeight="1">
      <x:c r="A75" s="23" t="str"/>
      <x:c r="B75" s="23" t="str"/>
      <x:c r="C75" s="23" t="str"/>
      <x:c r="D75" s="23" t="str"/>
      <x:c r="E75" s="23" t="str"/>
      <x:c r="F75" s="23" t="str"/>
      <x:c r="G75" s="23" t="str"/>
      <x:c r="H75" s="23" t="str"/>
      <x:c r="I75" s="23" t="str"/>
      <x:c r="J75" s="23" t="str"/>
      <x:c r="K75" s="23" t="str"/>
      <x:c r="L75" s="23" t="str"/>
      <x:c r="M75" s="23" t="str"/>
      <x:c r="N75" s="23" t="str"/>
      <x:c r="O75" s="125" t="str"/>
      <x:c r="P75" s="23"/>
      <x:c r="Q75" s="23"/>
      <x:c r="R75" s="23"/>
      <x:c r="S75" s="23"/>
      <x:c r="T75" s="23"/>
      <x:c r="U75" s="23"/>
      <x:c r="V75" s="23"/>
      <x:c r="W75" s="23"/>
      <x:c r="X75" s="23"/>
    </x:row>
    <x:row r="76" ht="72" customHeight="1">
      <x:c r="A76" s="23" t="str"/>
      <x:c r="B76" s="23" t="str"/>
      <x:c r="C76" s="23" t="str"/>
      <x:c r="D76" s="23" t="str"/>
      <x:c r="E76" s="23" t="str"/>
      <x:c r="F76" s="23" t="str"/>
      <x:c r="G76" s="23" t="str"/>
      <x:c r="H76" s="23" t="str"/>
      <x:c r="I76" s="23" t="str"/>
      <x:c r="J76" s="23" t="str"/>
      <x:c r="K76" s="23" t="str"/>
      <x:c r="L76" s="23" t="str"/>
      <x:c r="M76" s="23" t="str"/>
      <x:c r="N76" s="23" t="str"/>
      <x:c r="O76" s="125" t="str"/>
      <x:c r="P76" s="23"/>
      <x:c r="Q76" s="23"/>
      <x:c r="R76" s="23"/>
      <x:c r="S76" s="23"/>
      <x:c r="T76" s="23"/>
      <x:c r="U76" s="23"/>
      <x:c r="V76" s="23"/>
      <x:c r="W76" s="23"/>
      <x:c r="X76" s="23"/>
    </x:row>
    <x:row r="77" ht="72" customHeight="1">
      <x:c r="A77" s="23" t="str"/>
      <x:c r="B77" s="23" t="str"/>
      <x:c r="C77" s="23" t="str"/>
      <x:c r="D77" s="23" t="str"/>
      <x:c r="E77" s="23" t="str"/>
      <x:c r="F77" s="23" t="str"/>
      <x:c r="G77" s="23" t="str"/>
      <x:c r="H77" s="23" t="str"/>
      <x:c r="I77" s="23" t="str"/>
      <x:c r="J77" s="23" t="str"/>
      <x:c r="K77" s="23" t="str"/>
      <x:c r="L77" s="23" t="str"/>
      <x:c r="M77" s="23" t="str"/>
      <x:c r="N77" s="23" t="str"/>
      <x:c r="O77" s="125" t="str"/>
      <x:c r="P77" s="23"/>
      <x:c r="Q77" s="23"/>
      <x:c r="R77" s="23"/>
      <x:c r="S77" s="23"/>
      <x:c r="T77" s="23"/>
      <x:c r="U77" s="23"/>
      <x:c r="V77" s="23"/>
      <x:c r="W77" s="23"/>
      <x:c r="X77" s="23"/>
    </x:row>
    <x:row r="78" ht="72" customHeight="1">
      <x:c r="A78" s="23" t="str"/>
      <x:c r="B78" s="23" t="str"/>
      <x:c r="C78" s="23" t="str"/>
      <x:c r="D78" s="23" t="str"/>
      <x:c r="E78" s="23" t="str"/>
      <x:c r="F78" s="23" t="str"/>
      <x:c r="G78" s="23" t="str"/>
      <x:c r="H78" s="23" t="str"/>
      <x:c r="I78" s="23" t="str"/>
      <x:c r="J78" s="23" t="str"/>
      <x:c r="K78" s="23" t="str"/>
      <x:c r="L78" s="23" t="str"/>
      <x:c r="M78" s="23" t="str"/>
      <x:c r="N78" s="23" t="str"/>
      <x:c r="O78" s="125" t="str"/>
      <x:c r="P78" s="23"/>
      <x:c r="Q78" s="23"/>
      <x:c r="R78" s="23"/>
      <x:c r="S78" s="23"/>
      <x:c r="T78" s="23"/>
      <x:c r="U78" s="23"/>
      <x:c r="V78" s="23"/>
      <x:c r="W78" s="23"/>
      <x:c r="X78" s="23"/>
    </x:row>
    <x:row r="79" ht="72" customHeight="1">
      <x:c r="A79" s="23" t="str"/>
      <x:c r="B79" s="23" t="str"/>
      <x:c r="C79" s="23" t="str"/>
      <x:c r="D79" s="23" t="str"/>
      <x:c r="E79" s="23" t="str"/>
      <x:c r="F79" s="23" t="str"/>
      <x:c r="G79" s="23" t="str"/>
      <x:c r="H79" s="23" t="str"/>
      <x:c r="I79" s="23" t="str"/>
      <x:c r="J79" s="23" t="str"/>
      <x:c r="K79" s="23" t="str"/>
      <x:c r="L79" s="23" t="str"/>
      <x:c r="M79" s="23" t="str"/>
      <x:c r="N79" s="23" t="str"/>
      <x:c r="O79" s="125" t="str"/>
      <x:c r="P79" s="23"/>
      <x:c r="Q79" s="23"/>
      <x:c r="R79" s="23"/>
      <x:c r="S79" s="23"/>
      <x:c r="T79" s="23"/>
      <x:c r="U79" s="23"/>
      <x:c r="V79" s="23"/>
      <x:c r="W79" s="23"/>
      <x:c r="X79" s="23"/>
    </x:row>
    <x:row r="80" ht="72" customHeight="1">
      <x:c r="A80" s="23" t="str"/>
      <x:c r="B80" s="23" t="str"/>
      <x:c r="C80" s="23" t="str"/>
      <x:c r="D80" s="23" t="str"/>
      <x:c r="E80" s="23" t="str"/>
      <x:c r="F80" s="23" t="str"/>
      <x:c r="G80" s="23" t="str"/>
      <x:c r="H80" s="23" t="str"/>
      <x:c r="I80" s="23" t="str"/>
      <x:c r="J80" s="23" t="str"/>
      <x:c r="K80" s="23" t="str"/>
      <x:c r="L80" s="23" t="str"/>
      <x:c r="M80" s="23" t="str"/>
      <x:c r="N80" s="23" t="str"/>
      <x:c r="O80" s="125" t="str"/>
      <x:c r="P80" s="23"/>
      <x:c r="Q80" s="23"/>
      <x:c r="R80" s="23"/>
      <x:c r="S80" s="23"/>
      <x:c r="T80" s="23"/>
      <x:c r="U80" s="23"/>
      <x:c r="V80" s="23"/>
      <x:c r="W80" s="23"/>
      <x:c r="X80" s="23"/>
    </x:row>
    <x:row r="81" ht="72" customHeight="1">
      <x:c r="A81" s="23" t="str"/>
      <x:c r="B81" s="23" t="str"/>
      <x:c r="C81" s="23" t="str"/>
      <x:c r="D81" s="23" t="str"/>
      <x:c r="E81" s="23" t="str"/>
      <x:c r="F81" s="23" t="str"/>
      <x:c r="G81" s="23" t="str"/>
      <x:c r="H81" s="23" t="str"/>
      <x:c r="I81" s="23" t="str"/>
      <x:c r="J81" s="23" t="str"/>
      <x:c r="K81" s="23" t="str"/>
      <x:c r="L81" s="23" t="str"/>
      <x:c r="M81" s="23" t="str"/>
      <x:c r="N81" s="23" t="str"/>
      <x:c r="O81" s="125" t="str"/>
      <x:c r="P81" s="23"/>
      <x:c r="Q81" s="23"/>
      <x:c r="R81" s="23"/>
      <x:c r="S81" s="23"/>
      <x:c r="T81" s="23"/>
      <x:c r="U81" s="23"/>
      <x:c r="V81" s="23"/>
      <x:c r="W81" s="23"/>
      <x:c r="X81" s="23"/>
    </x:row>
    <x:row r="82" ht="72" customHeight="1">
      <x:c r="A82" s="23" t="str"/>
      <x:c r="B82" s="23" t="str"/>
      <x:c r="C82" s="23" t="str"/>
      <x:c r="D82" s="23" t="str"/>
      <x:c r="E82" s="23" t="str"/>
      <x:c r="F82" s="23" t="str"/>
      <x:c r="G82" s="23" t="str"/>
      <x:c r="H82" s="23" t="str"/>
      <x:c r="I82" s="23" t="str"/>
      <x:c r="J82" s="23" t="str"/>
      <x:c r="K82" s="23" t="str"/>
      <x:c r="L82" s="23" t="str"/>
      <x:c r="M82" s="23" t="str"/>
      <x:c r="N82" s="23" t="str"/>
      <x:c r="O82" s="125" t="str"/>
      <x:c r="P82" s="23"/>
      <x:c r="Q82" s="23"/>
      <x:c r="R82" s="23"/>
      <x:c r="S82" s="23"/>
      <x:c r="T82" s="23"/>
      <x:c r="U82" s="23"/>
      <x:c r="V82" s="23"/>
      <x:c r="W82" s="23"/>
      <x:c r="X82" s="23"/>
    </x:row>
    <x:row r="83" ht="72" customHeight="1">
      <x:c r="A83" s="23" t="str"/>
      <x:c r="B83" s="23" t="str"/>
      <x:c r="C83" s="23" t="str"/>
      <x:c r="D83" s="23" t="str"/>
      <x:c r="E83" s="23" t="str"/>
      <x:c r="F83" s="23" t="str"/>
      <x:c r="G83" s="23" t="str"/>
      <x:c r="H83" s="23" t="str"/>
      <x:c r="I83" s="23" t="str"/>
      <x:c r="J83" s="23" t="str"/>
      <x:c r="K83" s="23" t="str"/>
      <x:c r="L83" s="23" t="str"/>
      <x:c r="M83" s="23" t="str"/>
      <x:c r="N83" s="23" t="str"/>
      <x:c r="O83" s="125" t="str"/>
      <x:c r="P83" s="23"/>
      <x:c r="Q83" s="23"/>
      <x:c r="R83" s="23"/>
      <x:c r="S83" s="23"/>
      <x:c r="T83" s="23"/>
      <x:c r="U83" s="23"/>
      <x:c r="V83" s="23"/>
      <x:c r="W83" s="23"/>
      <x:c r="X83" s="23"/>
    </x:row>
    <x:row r="84" ht="72" customHeight="1">
      <x:c r="A84" s="23" t="str"/>
      <x:c r="B84" s="23" t="str"/>
      <x:c r="C84" s="23" t="str"/>
      <x:c r="D84" s="23" t="str"/>
      <x:c r="E84" s="23" t="str"/>
      <x:c r="F84" s="23" t="str"/>
      <x:c r="G84" s="23" t="str"/>
      <x:c r="H84" s="23" t="str"/>
      <x:c r="I84" s="23" t="str"/>
      <x:c r="J84" s="23" t="str"/>
      <x:c r="K84" s="23" t="str"/>
      <x:c r="L84" s="23" t="str"/>
      <x:c r="M84" s="23" t="str"/>
      <x:c r="N84" s="23" t="str"/>
      <x:c r="O84" s="125" t="str"/>
      <x:c r="P84" s="23"/>
      <x:c r="Q84" s="23"/>
      <x:c r="R84" s="23"/>
      <x:c r="S84" s="23"/>
      <x:c r="T84" s="23"/>
      <x:c r="U84" s="23"/>
      <x:c r="V84" s="23"/>
      <x:c r="W84" s="23"/>
      <x:c r="X84" s="23"/>
    </x:row>
    <x:row r="85" ht="72" customHeight="1">
      <x:c r="A85" s="23" t="str"/>
      <x:c r="B85" s="23" t="str"/>
      <x:c r="C85" s="23" t="str"/>
      <x:c r="D85" s="23" t="str"/>
      <x:c r="E85" s="23" t="str"/>
      <x:c r="F85" s="23" t="str"/>
      <x:c r="G85" s="23" t="str"/>
      <x:c r="H85" s="23" t="str"/>
      <x:c r="I85" s="23" t="str"/>
      <x:c r="J85" s="23" t="str"/>
      <x:c r="K85" s="23" t="str"/>
      <x:c r="L85" s="23" t="str"/>
      <x:c r="M85" s="23" t="str"/>
      <x:c r="N85" s="23" t="str"/>
      <x:c r="O85" s="125" t="str"/>
      <x:c r="P85" s="23"/>
      <x:c r="Q85" s="23"/>
      <x:c r="R85" s="23"/>
      <x:c r="S85" s="23"/>
      <x:c r="T85" s="23"/>
      <x:c r="U85" s="23"/>
      <x:c r="V85" s="23"/>
      <x:c r="W85" s="23"/>
      <x:c r="X85" s="23"/>
    </x:row>
    <x:row r="86" ht="72" customHeight="1">
      <x:c r="A86" s="23" t="str"/>
      <x:c r="B86" s="23" t="str"/>
      <x:c r="C86" s="23" t="str"/>
      <x:c r="D86" s="23" t="str"/>
      <x:c r="E86" s="23" t="str"/>
      <x:c r="F86" s="23" t="str"/>
      <x:c r="G86" s="23" t="str"/>
      <x:c r="H86" s="23" t="str"/>
      <x:c r="I86" s="23" t="str"/>
      <x:c r="J86" s="23" t="str"/>
      <x:c r="K86" s="23" t="str"/>
      <x:c r="L86" s="23" t="str"/>
      <x:c r="M86" s="23" t="str"/>
      <x:c r="N86" s="23" t="str"/>
      <x:c r="O86" s="125" t="str"/>
      <x:c r="P86" s="23"/>
      <x:c r="Q86" s="23"/>
      <x:c r="R86" s="23"/>
      <x:c r="S86" s="23"/>
      <x:c r="T86" s="23"/>
      <x:c r="U86" s="23"/>
      <x:c r="V86" s="23"/>
      <x:c r="W86" s="23"/>
      <x:c r="X86" s="23"/>
    </x:row>
    <x:row r="87" ht="72" customHeight="1">
      <x:c r="A87" s="23" t="str"/>
      <x:c r="B87" s="23" t="str"/>
      <x:c r="C87" s="23" t="str"/>
      <x:c r="D87" s="23" t="str"/>
      <x:c r="E87" s="23" t="str"/>
      <x:c r="F87" s="23" t="str"/>
      <x:c r="G87" s="23" t="str"/>
      <x:c r="H87" s="23" t="str"/>
      <x:c r="I87" s="23" t="str"/>
      <x:c r="J87" s="23" t="str"/>
      <x:c r="K87" s="23" t="str"/>
      <x:c r="L87" s="23" t="str"/>
      <x:c r="M87" s="23" t="str"/>
      <x:c r="N87" s="23" t="str"/>
      <x:c r="O87" s="125" t="str"/>
      <x:c r="P87" s="23"/>
      <x:c r="Q87" s="23"/>
      <x:c r="R87" s="23"/>
      <x:c r="S87" s="23"/>
      <x:c r="T87" s="23"/>
      <x:c r="U87" s="23"/>
      <x:c r="V87" s="23"/>
      <x:c r="W87" s="23"/>
      <x:c r="X87" s="23"/>
    </x:row>
    <x:row r="88" ht="72" customHeight="1">
      <x:c r="A88" s="23" t="str"/>
      <x:c r="B88" s="23" t="str"/>
      <x:c r="C88" s="23" t="str"/>
      <x:c r="D88" s="23" t="str"/>
      <x:c r="E88" s="23" t="str"/>
      <x:c r="F88" s="23" t="str"/>
      <x:c r="G88" s="23" t="str"/>
      <x:c r="H88" s="23" t="str"/>
      <x:c r="I88" s="23" t="str"/>
      <x:c r="J88" s="23" t="str"/>
      <x:c r="K88" s="23" t="str"/>
      <x:c r="L88" s="23" t="str"/>
      <x:c r="M88" s="23" t="str"/>
      <x:c r="N88" s="23" t="str"/>
      <x:c r="O88" s="125" t="str"/>
      <x:c r="P88" s="23"/>
      <x:c r="Q88" s="23"/>
      <x:c r="R88" s="23"/>
      <x:c r="S88" s="23"/>
      <x:c r="T88" s="23"/>
      <x:c r="U88" s="23"/>
      <x:c r="V88" s="23"/>
      <x:c r="W88" s="23"/>
      <x:c r="X88" s="23"/>
    </x:row>
    <x:row r="89" ht="72" customHeight="1">
      <x:c r="A89" s="23" t="str"/>
      <x:c r="B89" s="23" t="str"/>
      <x:c r="C89" s="23" t="str"/>
      <x:c r="D89" s="23" t="str"/>
      <x:c r="E89" s="23" t="str"/>
      <x:c r="F89" s="23" t="str"/>
      <x:c r="G89" s="23" t="str"/>
      <x:c r="H89" s="23" t="str"/>
      <x:c r="I89" s="23" t="str"/>
      <x:c r="J89" s="23" t="str"/>
      <x:c r="K89" s="23" t="str"/>
      <x:c r="L89" s="23" t="str"/>
      <x:c r="M89" s="23" t="str"/>
      <x:c r="N89" s="23" t="str"/>
      <x:c r="O89" s="125" t="str"/>
      <x:c r="P89" s="23"/>
      <x:c r="Q89" s="23"/>
      <x:c r="R89" s="23"/>
      <x:c r="S89" s="23"/>
      <x:c r="T89" s="23"/>
      <x:c r="U89" s="23"/>
      <x:c r="V89" s="23"/>
      <x:c r="W89" s="23"/>
      <x:c r="X89" s="23"/>
    </x:row>
    <x:row r="90" ht="72" customHeight="1">
      <x:c r="A90" s="23" t="str"/>
      <x:c r="B90" s="23" t="str"/>
      <x:c r="C90" s="23" t="str"/>
      <x:c r="D90" s="23" t="str"/>
      <x:c r="E90" s="23" t="str"/>
      <x:c r="F90" s="23" t="str"/>
      <x:c r="G90" s="23" t="str"/>
      <x:c r="H90" s="23" t="str"/>
      <x:c r="I90" s="23" t="str"/>
      <x:c r="J90" s="23" t="str"/>
      <x:c r="K90" s="23" t="str"/>
      <x:c r="L90" s="23" t="str"/>
      <x:c r="M90" s="23" t="str"/>
      <x:c r="N90" s="23" t="str"/>
      <x:c r="O90" s="125" t="str"/>
      <x:c r="P90" s="23"/>
      <x:c r="Q90" s="23"/>
      <x:c r="R90" s="23"/>
      <x:c r="S90" s="23"/>
      <x:c r="T90" s="23"/>
      <x:c r="U90" s="23"/>
      <x:c r="V90" s="23"/>
      <x:c r="W90" s="23"/>
      <x:c r="X90" s="23"/>
    </x:row>
    <x:row r="91" ht="72" customHeight="1">
      <x:c r="A91" s="23" t="str"/>
      <x:c r="B91" s="23" t="str"/>
      <x:c r="C91" s="23" t="str"/>
      <x:c r="D91" s="23" t="str"/>
      <x:c r="E91" s="23" t="str"/>
      <x:c r="F91" s="23" t="str"/>
      <x:c r="G91" s="23" t="str"/>
      <x:c r="H91" s="23" t="str"/>
      <x:c r="I91" s="23" t="str"/>
      <x:c r="J91" s="23" t="str"/>
      <x:c r="K91" s="23" t="str"/>
      <x:c r="L91" s="23" t="str"/>
      <x:c r="M91" s="23" t="str"/>
      <x:c r="N91" s="23" t="str"/>
      <x:c r="O91" s="125" t="str"/>
      <x:c r="P91" s="23"/>
      <x:c r="Q91" s="23"/>
      <x:c r="R91" s="23"/>
      <x:c r="S91" s="23"/>
      <x:c r="T91" s="23"/>
      <x:c r="U91" s="23"/>
      <x:c r="V91" s="23"/>
      <x:c r="W91" s="23"/>
      <x:c r="X91" s="23"/>
    </x:row>
    <x:row r="92" ht="72" customHeight="1">
      <x:c r="A92" s="23" t="str"/>
      <x:c r="B92" s="23" t="str"/>
      <x:c r="C92" s="23" t="str"/>
      <x:c r="D92" s="23" t="str"/>
      <x:c r="E92" s="23" t="str"/>
      <x:c r="F92" s="23" t="str"/>
      <x:c r="G92" s="23" t="str"/>
      <x:c r="H92" s="23" t="str"/>
      <x:c r="I92" s="23" t="str"/>
      <x:c r="J92" s="23" t="str"/>
      <x:c r="K92" s="23" t="str"/>
      <x:c r="L92" s="23" t="str"/>
      <x:c r="M92" s="23" t="str"/>
      <x:c r="N92" s="23" t="str"/>
      <x:c r="O92" s="125" t="str"/>
      <x:c r="P92" s="23"/>
      <x:c r="Q92" s="23"/>
      <x:c r="R92" s="23"/>
      <x:c r="S92" s="23"/>
      <x:c r="T92" s="23"/>
      <x:c r="U92" s="23"/>
      <x:c r="V92" s="23"/>
      <x:c r="W92" s="23"/>
      <x:c r="X92" s="23"/>
    </x:row>
    <x:row r="93" ht="72" customHeight="1">
      <x:c r="A93" s="23" t="str"/>
      <x:c r="B93" s="23" t="str"/>
      <x:c r="C93" s="23" t="str"/>
      <x:c r="D93" s="23" t="str"/>
      <x:c r="E93" s="23" t="str"/>
      <x:c r="F93" s="23" t="str"/>
      <x:c r="G93" s="23" t="str"/>
      <x:c r="H93" s="23" t="str"/>
      <x:c r="I93" s="23" t="str"/>
      <x:c r="J93" s="23" t="str"/>
      <x:c r="K93" s="23" t="str"/>
      <x:c r="L93" s="23" t="str"/>
      <x:c r="M93" s="23" t="str"/>
      <x:c r="N93" s="23" t="str"/>
      <x:c r="O93" s="125" t="str"/>
      <x:c r="P93" s="23"/>
      <x:c r="Q93" s="23"/>
      <x:c r="R93" s="23"/>
      <x:c r="S93" s="23"/>
      <x:c r="T93" s="23"/>
      <x:c r="U93" s="23"/>
      <x:c r="V93" s="23"/>
      <x:c r="W93" s="23"/>
      <x:c r="X93" s="23"/>
    </x:row>
    <x:row r="94" ht="72" customHeight="1">
      <x:c r="A94" s="23" t="str"/>
      <x:c r="B94" s="23" t="str"/>
      <x:c r="C94" s="23" t="str"/>
      <x:c r="D94" s="23" t="str"/>
      <x:c r="E94" s="23" t="str"/>
      <x:c r="F94" s="23" t="str"/>
      <x:c r="G94" s="23" t="str"/>
      <x:c r="H94" s="23" t="str"/>
      <x:c r="I94" s="23" t="str"/>
      <x:c r="J94" s="23" t="str"/>
      <x:c r="K94" s="23" t="str"/>
      <x:c r="L94" s="23" t="str"/>
      <x:c r="M94" s="23" t="str"/>
      <x:c r="N94" s="23" t="str"/>
      <x:c r="O94" s="125" t="str"/>
      <x:c r="P94" s="23"/>
      <x:c r="Q94" s="23"/>
      <x:c r="R94" s="23"/>
      <x:c r="S94" s="23"/>
      <x:c r="T94" s="23"/>
      <x:c r="U94" s="23"/>
      <x:c r="V94" s="23"/>
      <x:c r="W94" s="23"/>
      <x:c r="X94" s="23"/>
    </x:row>
    <x:row r="95" ht="72" customHeight="1">
      <x:c r="A95" s="23" t="str"/>
      <x:c r="B95" s="23" t="str"/>
      <x:c r="C95" s="23" t="str"/>
      <x:c r="D95" s="23" t="str"/>
      <x:c r="E95" s="23" t="str"/>
      <x:c r="F95" s="23" t="str"/>
      <x:c r="G95" s="23" t="str"/>
      <x:c r="H95" s="23" t="str"/>
      <x:c r="I95" s="23" t="str"/>
      <x:c r="J95" s="23" t="str"/>
      <x:c r="K95" s="23" t="str"/>
      <x:c r="L95" s="23" t="str"/>
      <x:c r="M95" s="23" t="str"/>
      <x:c r="N95" s="23" t="str"/>
      <x:c r="O95" s="125" t="str"/>
      <x:c r="P95" s="23"/>
      <x:c r="Q95" s="23"/>
      <x:c r="R95" s="23"/>
      <x:c r="S95" s="23"/>
      <x:c r="T95" s="23"/>
      <x:c r="U95" s="23"/>
      <x:c r="V95" s="23"/>
      <x:c r="W95" s="23"/>
      <x:c r="X95" s="23"/>
    </x:row>
    <x:row r="96" ht="72" customHeight="1">
      <x:c r="A96" s="23" t="str"/>
      <x:c r="B96" s="23" t="str"/>
      <x:c r="C96" s="23" t="str"/>
      <x:c r="D96" s="23" t="str"/>
      <x:c r="E96" s="23" t="str"/>
      <x:c r="F96" s="23" t="str"/>
      <x:c r="G96" s="23" t="str"/>
      <x:c r="H96" s="23" t="str"/>
      <x:c r="I96" s="23" t="str"/>
      <x:c r="J96" s="23" t="str"/>
      <x:c r="K96" s="23" t="str"/>
      <x:c r="L96" s="23" t="str"/>
      <x:c r="M96" s="23" t="str"/>
      <x:c r="N96" s="23" t="str"/>
      <x:c r="O96" s="125" t="str"/>
      <x:c r="P96" s="23"/>
      <x:c r="Q96" s="23"/>
      <x:c r="R96" s="23"/>
      <x:c r="S96" s="23"/>
      <x:c r="T96" s="23"/>
      <x:c r="U96" s="23"/>
      <x:c r="V96" s="23"/>
      <x:c r="W96" s="23"/>
      <x:c r="X96" s="23"/>
    </x:row>
    <x:row r="97" ht="72" customHeight="1">
      <x:c r="A97" s="23" t="str"/>
      <x:c r="B97" s="23" t="str"/>
      <x:c r="C97" s="23" t="str"/>
      <x:c r="D97" s="23" t="str"/>
      <x:c r="E97" s="23" t="str"/>
      <x:c r="F97" s="23" t="str"/>
      <x:c r="G97" s="23" t="str"/>
      <x:c r="H97" s="23" t="str"/>
      <x:c r="I97" s="23" t="str"/>
      <x:c r="J97" s="23" t="str"/>
      <x:c r="K97" s="23" t="str"/>
      <x:c r="L97" s="23" t="str"/>
      <x:c r="M97" s="23" t="str"/>
      <x:c r="N97" s="23" t="str"/>
      <x:c r="O97" s="125" t="str"/>
      <x:c r="P97" s="23"/>
      <x:c r="Q97" s="23"/>
      <x:c r="R97" s="23"/>
      <x:c r="S97" s="23"/>
      <x:c r="T97" s="23"/>
      <x:c r="U97" s="23"/>
      <x:c r="V97" s="23"/>
      <x:c r="W97" s="23"/>
      <x:c r="X97" s="23"/>
    </x:row>
    <x:row r="98" ht="72" customHeight="1">
      <x:c r="A98" s="23" t="str"/>
      <x:c r="B98" s="23" t="str"/>
      <x:c r="C98" s="23" t="str"/>
      <x:c r="D98" s="23" t="str"/>
      <x:c r="E98" s="23" t="str"/>
      <x:c r="F98" s="23" t="str"/>
      <x:c r="G98" s="23" t="str"/>
      <x:c r="H98" s="23" t="str"/>
      <x:c r="I98" s="23" t="str"/>
      <x:c r="J98" s="23" t="str"/>
      <x:c r="K98" s="23" t="str"/>
      <x:c r="L98" s="23" t="str"/>
      <x:c r="M98" s="23" t="str"/>
      <x:c r="N98" s="23" t="str"/>
      <x:c r="O98" s="125" t="str"/>
      <x:c r="P98" s="23"/>
      <x:c r="Q98" s="23"/>
      <x:c r="R98" s="23"/>
      <x:c r="S98" s="23"/>
      <x:c r="T98" s="23"/>
      <x:c r="U98" s="23"/>
      <x:c r="V98" s="23"/>
      <x:c r="W98" s="23"/>
      <x:c r="X98" s="23"/>
    </x:row>
    <x:row r="99" ht="72" customHeight="1">
      <x:c r="A99" s="23" t="str"/>
      <x:c r="B99" s="23" t="str"/>
      <x:c r="C99" s="23" t="str"/>
      <x:c r="D99" s="23" t="str"/>
      <x:c r="E99" s="23" t="str"/>
      <x:c r="F99" s="23" t="str"/>
      <x:c r="G99" s="23" t="str"/>
      <x:c r="H99" s="23" t="str"/>
      <x:c r="I99" s="23" t="str"/>
      <x:c r="J99" s="23" t="str"/>
      <x:c r="K99" s="23" t="str"/>
      <x:c r="L99" s="23" t="str"/>
      <x:c r="M99" s="23" t="str"/>
      <x:c r="N99" s="23" t="str"/>
      <x:c r="O99" s="125" t="str"/>
      <x:c r="P99" s="23"/>
      <x:c r="Q99" s="23"/>
      <x:c r="R99" s="23"/>
      <x:c r="S99" s="23"/>
      <x:c r="T99" s="23"/>
      <x:c r="U99" s="23"/>
      <x:c r="V99" s="23"/>
      <x:c r="W99" s="23"/>
      <x:c r="X99" s="23"/>
    </x:row>
    <x:row r="100" ht="72" customHeight="1">
      <x:c r="A100" s="23" t="str"/>
      <x:c r="B100" s="23" t="str"/>
      <x:c r="C100" s="23" t="str"/>
      <x:c r="D100" s="23" t="str"/>
      <x:c r="E100" s="23" t="str"/>
      <x:c r="F100" s="23" t="str"/>
      <x:c r="G100" s="23" t="str"/>
      <x:c r="H100" s="23" t="str"/>
      <x:c r="I100" s="23" t="str"/>
      <x:c r="J100" s="23" t="str"/>
      <x:c r="K100" s="23" t="str"/>
      <x:c r="L100" s="23" t="str"/>
      <x:c r="M100" s="23" t="str"/>
      <x:c r="N100" s="23" t="str"/>
      <x:c r="O100" s="125" t="str"/>
      <x:c r="P100" s="23"/>
      <x:c r="Q100" s="23"/>
      <x:c r="R100" s="23"/>
      <x:c r="S100" s="23"/>
      <x:c r="T100" s="23"/>
      <x:c r="U100" s="23"/>
      <x:c r="V100" s="23"/>
      <x:c r="W100" s="23"/>
      <x:c r="X100" s="23"/>
    </x:row>
    <x:row r="101" ht="72" customHeight="1">
      <x:c r="A101" s="23" t="str"/>
      <x:c r="B101" s="23" t="str"/>
      <x:c r="C101" s="23" t="str"/>
      <x:c r="D101" s="23" t="str"/>
      <x:c r="E101" s="23" t="str"/>
      <x:c r="F101" s="23" t="str"/>
      <x:c r="G101" s="23" t="str"/>
      <x:c r="H101" s="23" t="str"/>
      <x:c r="I101" s="23" t="str"/>
      <x:c r="J101" s="23" t="str"/>
      <x:c r="K101" s="23" t="str"/>
      <x:c r="L101" s="23" t="str"/>
      <x:c r="M101" s="23" t="str"/>
      <x:c r="N101" s="23" t="str"/>
      <x:c r="O101" s="125" t="str"/>
      <x:c r="P101" s="23"/>
      <x:c r="Q101" s="23"/>
      <x:c r="R101" s="23"/>
      <x:c r="S101" s="23"/>
      <x:c r="T101" s="23"/>
      <x:c r="U101" s="23"/>
      <x:c r="V101" s="23"/>
      <x:c r="W101" s="23"/>
      <x:c r="X101" s="23"/>
    </x:row>
    <x:row r="102" ht="72" customHeight="1">
      <x:c r="A102" s="23" t="str"/>
      <x:c r="B102" s="23" t="str"/>
      <x:c r="C102" s="23" t="str"/>
      <x:c r="D102" s="23" t="str"/>
      <x:c r="E102" s="23" t="str"/>
      <x:c r="F102" s="23" t="str"/>
      <x:c r="G102" s="23" t="str"/>
      <x:c r="H102" s="23" t="str"/>
      <x:c r="I102" s="23" t="str"/>
      <x:c r="J102" s="23" t="str"/>
      <x:c r="K102" s="23" t="str"/>
      <x:c r="L102" s="23" t="str"/>
      <x:c r="M102" s="23" t="str"/>
      <x:c r="N102" s="23" t="str"/>
      <x:c r="O102" s="125" t="str"/>
      <x:c r="P102" s="23"/>
      <x:c r="Q102" s="23"/>
      <x:c r="R102" s="23"/>
      <x:c r="S102" s="23"/>
      <x:c r="T102" s="23"/>
      <x:c r="U102" s="23"/>
      <x:c r="V102" s="23"/>
      <x:c r="W102" s="23"/>
      <x:c r="X102" s="23"/>
    </x:row>
    <x:row r="103" ht="72" customHeight="1">
      <x:c r="A103" s="23" t="str"/>
      <x:c r="B103" s="23" t="str"/>
      <x:c r="C103" s="23" t="str"/>
      <x:c r="D103" s="23" t="str"/>
      <x:c r="E103" s="23" t="str"/>
      <x:c r="F103" s="23" t="str"/>
      <x:c r="G103" s="23" t="str"/>
      <x:c r="H103" s="23" t="str"/>
      <x:c r="I103" s="23" t="str"/>
      <x:c r="J103" s="23" t="str"/>
      <x:c r="K103" s="23" t="str"/>
      <x:c r="L103" s="23" t="str"/>
      <x:c r="M103" s="23" t="str"/>
      <x:c r="N103" s="23" t="str"/>
      <x:c r="O103" s="125" t="str"/>
      <x:c r="P103" s="23"/>
      <x:c r="Q103" s="23"/>
      <x:c r="R103" s="23"/>
      <x:c r="S103" s="23"/>
      <x:c r="T103" s="23"/>
      <x:c r="U103" s="23"/>
      <x:c r="V103" s="23"/>
      <x:c r="W103" s="23"/>
      <x:c r="X103" s="23"/>
    </x:row>
  </x:sheetData>
  <x:mergeCells>
    <x:mergeCell ref="A1:T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15" hidden="0" customWidth="1"/>
    <x:col min="3" max="3" width="34" hidden="0" customWidth="1"/>
    <x:col min="4" max="4" width="72" hidden="0" customWidth="1"/>
    <x:col min="5" max="5" width="52" hidden="0" customWidth="1"/>
    <x:col min="6" max="6" width="22" hidden="0" customWidth="1"/>
    <x:col min="7" max="7" width="14" hidden="0" customWidth="1"/>
    <x:col min="8" max="8" width="12" hidden="0" customWidth="1"/>
  </x:cols>
  <x:sheetData>
    <x:row r="1" ht="30" customHeight="1">
      <x:c r="A1" s="5" t="str">
        <x:v>Source Registry</x:v>
      </x:c>
    </x:row>
    <x:row r="3" ht="30" customHeight="1">
      <x:c r="A3" s="14" t="str">
        <x:v>Ticker</x:v>
      </x:c>
      <x:c r="B3" s="14" t="str">
        <x:v>Source Type</x:v>
      </x:c>
      <x:c r="C3" s="14" t="str">
        <x:v>Source Name</x:v>
      </x:c>
      <x:c r="D3" s="14" t="str">
        <x:v>URL</x:v>
      </x:c>
      <x:c r="E3" s="14" t="str">
        <x:v>Covered Data</x:v>
      </x:c>
      <x:c r="F3" s="14" t="str">
        <x:v>Source Period / Date</x:v>
      </x:c>
      <x:c r="G3" s="14" t="str">
        <x:v>Accessed</x:v>
      </x:c>
      <x:c r="H3" s="14" t="str">
        <x:v>Priority</x:v>
      </x:c>
    </x:row>
    <x:row r="4">
      <x:c r="A4" s="26" t="str">
        <x:v>DELTA</x:v>
      </x:c>
      <x:c r="B4" s="26" t="str">
        <x:v>SET</x:v>
      </x:c>
      <x:c r="C4" s="26" t="str">
        <x:v>SET Factsheet</x:v>
      </x:c>
      <x:c r="D4" s="26" t="str">
        <x:v>https://www.set.or.th/en/market/product/stock/quote/DELTA/factsheet</x:v>
      </x:c>
      <x:c r="E4" s="26" t="str">
        <x:v>Price / Market Cap / Valuation / Company facts</x:v>
      </x:c>
      <x:c r="F4" s="26" t="str">
        <x:v>2026-10-07</x:v>
      </x:c>
      <x:c r="G4" s="26" t="str">
        <x:v>2026-10-08</x:v>
      </x:c>
      <x:c r="H4" s="26" t="str">
        <x:v>Primary</x:v>
      </x:c>
    </x:row>
    <x:row r="5">
      <x:c r="A5" s="26" t="str">
        <x:v>DELTA</x:v>
      </x:c>
      <x:c r="B5" s="26" t="str">
        <x:v>SET</x:v>
      </x:c>
      <x:c r="C5" s="26" t="str">
        <x:v>Latest Reviewed Financial Result</x:v>
      </x:c>
      <x:c r="D5" s="26" t="str">
        <x:v>https://www.set.or.th/en/market/news-and-alert/newsdetails?id=105530200&amp;symbol=DELTA</x:v>
      </x:c>
      <x:c r="E5" s="26" t="str">
        <x:v>Latest NPAT / EPS / financial performance</x:v>
      </x:c>
      <x:c r="F5" s="26" t="str">
        <x:v>1H2026 / Q2 2026</x:v>
      </x:c>
      <x:c r="G5" s="26" t="str">
        <x:v>2026-10-08</x:v>
      </x:c>
      <x:c r="H5" s="26" t="str">
        <x:v>Primary</x:v>
      </x:c>
    </x:row>
    <x:row r="6">
      <x:c r="A6" s="26" t="str">
        <x:v>DELTA</x:v>
      </x:c>
      <x:c r="B6" s="26" t="str">
        <x:v>Company IR</x:v>
      </x:c>
      <x:c r="C6" s="26" t="str">
        <x:v>Investor Relations / Company Website</x:v>
      </x:c>
      <x:c r="D6" s="26" t="str">
        <x:v>https://www.deltathailand.com/en/financial-highlights</x:v>
      </x:c>
      <x:c r="E6" s="26" t="str">
        <x:v>Strategy / operating context / company materials</x:v>
      </x:c>
      <x:c r="F6" s="26" t="str">
        <x:v>1H2026 / Q2 2026</x:v>
      </x:c>
      <x:c r="G6" s="26" t="str">
        <x:v>2026-10-08</x:v>
      </x:c>
      <x:c r="H6" s="26" t="str">
        <x:v>Primary</x:v>
      </x:c>
    </x:row>
    <x:row r="7">
      <x:c r="A7" s="26" t="str">
        <x:v>PTT</x:v>
      </x:c>
      <x:c r="B7" s="26" t="str">
        <x:v>SET</x:v>
      </x:c>
      <x:c r="C7" s="26" t="str">
        <x:v>SET Factsheet</x:v>
      </x:c>
      <x:c r="D7" s="26" t="str">
        <x:v>https://www.set.or.th/en/market/product/stock/quote/PTT/factsheet</x:v>
      </x:c>
      <x:c r="E7" s="26" t="str">
        <x:v>Price / Market Cap / Valuation / Company facts</x:v>
      </x:c>
      <x:c r="F7" s="26" t="str">
        <x:v>2026-10-07</x:v>
      </x:c>
      <x:c r="G7" s="26" t="str">
        <x:v>2026-10-08</x:v>
      </x:c>
      <x:c r="H7" s="26" t="str">
        <x:v>Primary</x:v>
      </x:c>
    </x:row>
    <x:row r="8">
      <x:c r="A8" s="26" t="str">
        <x:v>PTT</x:v>
      </x:c>
      <x:c r="B8" s="26" t="str">
        <x:v>SET</x:v>
      </x:c>
      <x:c r="C8" s="26" t="str">
        <x:v>Latest Reviewed Financial Result</x:v>
      </x:c>
      <x:c r="D8" s="26" t="str">
        <x:v>https://www.set.or.th/en/market/news-and-alert/newsdetails?id=106015900&amp;symbol=PTT</x:v>
      </x:c>
      <x:c r="E8" s="26" t="str">
        <x:v>Latest NPAT / EPS / financial performance</x:v>
      </x:c>
      <x:c r="F8" s="26" t="str">
        <x:v>1H2026 / Q2 2026</x:v>
      </x:c>
      <x:c r="G8" s="26" t="str">
        <x:v>2026-10-08</x:v>
      </x:c>
      <x:c r="H8" s="26" t="str">
        <x:v>Primary</x:v>
      </x:c>
    </x:row>
    <x:row r="9">
      <x:c r="A9" s="26" t="str">
        <x:v>PTT</x:v>
      </x:c>
      <x:c r="B9" s="26" t="str">
        <x:v>Company IR</x:v>
      </x:c>
      <x:c r="C9" s="26" t="str">
        <x:v>Investor Relations / Company Website</x:v>
      </x:c>
      <x:c r="D9" s="26" t="str">
        <x:v>https://investor.pttplc.com/en/downloads/financial-statements-mda</x:v>
      </x:c>
      <x:c r="E9" s="26" t="str">
        <x:v>Strategy / operating context / company materials</x:v>
      </x:c>
      <x:c r="F9" s="26" t="str">
        <x:v>1H2026 / Q2 2026</x:v>
      </x:c>
      <x:c r="G9" s="26" t="str">
        <x:v>2026-10-08</x:v>
      </x:c>
      <x:c r="H9" s="26" t="str">
        <x:v>Primary</x:v>
      </x:c>
    </x:row>
    <x:row r="10">
      <x:c r="A10" s="26" t="str">
        <x:v>ADVANC</x:v>
      </x:c>
      <x:c r="B10" s="26" t="str">
        <x:v>SET</x:v>
      </x:c>
      <x:c r="C10" s="26" t="str">
        <x:v>SET Factsheet</x:v>
      </x:c>
      <x:c r="D10" s="26" t="str">
        <x:v>https://www.set.or.th/en/market/product/stock/quote/ADVANC/factsheet</x:v>
      </x:c>
      <x:c r="E10" s="26" t="str">
        <x:v>Price / Market Cap / Valuation / Company facts</x:v>
      </x:c>
      <x:c r="F10" s="26" t="str">
        <x:v>2026-10-07</x:v>
      </x:c>
      <x:c r="G10" s="26" t="str">
        <x:v>2026-10-08</x:v>
      </x:c>
      <x:c r="H10" s="26" t="str">
        <x:v>Primary</x:v>
      </x:c>
    </x:row>
    <x:row r="11">
      <x:c r="A11" s="26" t="str">
        <x:v>ADVANC</x:v>
      </x:c>
      <x:c r="B11" s="26" t="str">
        <x:v>SET</x:v>
      </x:c>
      <x:c r="C11" s="26" t="str">
        <x:v>Latest Reviewed Financial Result</x:v>
      </x:c>
      <x:c r="D11" s="26" t="str">
        <x:v>https://www.set.or.th/en/market/news-and-alert/newsdetails?id=105664800&amp;symbol=ADVANC</x:v>
      </x:c>
      <x:c r="E11" s="26" t="str">
        <x:v>Latest NPAT / EPS / financial performance</x:v>
      </x:c>
      <x:c r="F11" s="26" t="str">
        <x:v>1H2026 / Q2 2026</x:v>
      </x:c>
      <x:c r="G11" s="26" t="str">
        <x:v>2026-10-08</x:v>
      </x:c>
      <x:c r="H11" s="26" t="str">
        <x:v>Primary</x:v>
      </x:c>
    </x:row>
    <x:row r="12">
      <x:c r="A12" s="26" t="str">
        <x:v>ADVANC</x:v>
      </x:c>
      <x:c r="B12" s="26" t="str">
        <x:v>Company IR</x:v>
      </x:c>
      <x:c r="C12" s="26" t="str">
        <x:v>Investor Relations / Company Website</x:v>
      </x:c>
      <x:c r="D12" s="26" t="str">
        <x:v>https://investor.ais.co.th/en/document/quarterly-results</x:v>
      </x:c>
      <x:c r="E12" s="26" t="str">
        <x:v>Strategy / operating context / company materials</x:v>
      </x:c>
      <x:c r="F12" s="26" t="str">
        <x:v>1H2026 / Q2 2026</x:v>
      </x:c>
      <x:c r="G12" s="26" t="str">
        <x:v>2026-10-08</x:v>
      </x:c>
      <x:c r="H12" s="26" t="str">
        <x:v>Primary</x:v>
      </x:c>
    </x:row>
    <x:row r="13">
      <x:c r="A13" s="26" t="str">
        <x:v>GULF</x:v>
      </x:c>
      <x:c r="B13" s="26" t="str">
        <x:v>SET</x:v>
      </x:c>
      <x:c r="C13" s="26" t="str">
        <x:v>SET Factsheet</x:v>
      </x:c>
      <x:c r="D13" s="26" t="str">
        <x:v>https://www.set.or.th/en/market/product/stock/quote/GULF/factsheet</x:v>
      </x:c>
      <x:c r="E13" s="26" t="str">
        <x:v>Price / Market Cap / Valuation / Company facts</x:v>
      </x:c>
      <x:c r="F13" s="26" t="str">
        <x:v>2026-10-07</x:v>
      </x:c>
      <x:c r="G13" s="26" t="str">
        <x:v>2026-10-08</x:v>
      </x:c>
      <x:c r="H13" s="26" t="str">
        <x:v>Primary</x:v>
      </x:c>
    </x:row>
    <x:row r="14">
      <x:c r="A14" s="26" t="str">
        <x:v>GULF</x:v>
      </x:c>
      <x:c r="B14" s="26" t="str">
        <x:v>SET</x:v>
      </x:c>
      <x:c r="C14" s="26" t="str">
        <x:v>Latest Reviewed Financial Result</x:v>
      </x:c>
      <x:c r="D14" s="26" t="str">
        <x:v>https://www.set.or.th/en/market/news-and-alert/newsdetails?id=105685400&amp;symbol=GULF</x:v>
      </x:c>
      <x:c r="E14" s="26" t="str">
        <x:v>Latest NPAT / EPS / financial performance</x:v>
      </x:c>
      <x:c r="F14" s="26" t="str">
        <x:v>1H2026 / Q2 2026</x:v>
      </x:c>
      <x:c r="G14" s="26" t="str">
        <x:v>2026-10-08</x:v>
      </x:c>
      <x:c r="H14" s="26" t="str">
        <x:v>Primary</x:v>
      </x:c>
    </x:row>
    <x:row r="15">
      <x:c r="A15" s="26" t="str">
        <x:v>GULF</x:v>
      </x:c>
      <x:c r="B15" s="26" t="str">
        <x:v>Company IR</x:v>
      </x:c>
      <x:c r="C15" s="26" t="str">
        <x:v>Investor Relations / Company Website</x:v>
      </x:c>
      <x:c r="D15" s="26" t="str">
        <x:v>https://www.gulf.co.th/en/investor-relations</x:v>
      </x:c>
      <x:c r="E15" s="26" t="str">
        <x:v>Strategy / operating context / company materials</x:v>
      </x:c>
      <x:c r="F15" s="26" t="str">
        <x:v>1H2026 / Q2 2026</x:v>
      </x:c>
      <x:c r="G15" s="26" t="str">
        <x:v>2026-10-08</x:v>
      </x:c>
      <x:c r="H15" s="26" t="str">
        <x:v>Primary</x:v>
      </x:c>
    </x:row>
    <x:row r="16">
      <x:c r="A16" s="26" t="str">
        <x:v>AOT</x:v>
      </x:c>
      <x:c r="B16" s="26" t="str">
        <x:v>SET</x:v>
      </x:c>
      <x:c r="C16" s="26" t="str">
        <x:v>SET Factsheet</x:v>
      </x:c>
      <x:c r="D16" s="26" t="str">
        <x:v>https://www.set.or.th/en/market/product/stock/quote/AOT/factsheet</x:v>
      </x:c>
      <x:c r="E16" s="26" t="str">
        <x:v>Price / Market Cap / Valuation / Company facts</x:v>
      </x:c>
      <x:c r="F16" s="26" t="str">
        <x:v>2026-10-07</x:v>
      </x:c>
      <x:c r="G16" s="26" t="str">
        <x:v>2026-10-08</x:v>
      </x:c>
      <x:c r="H16" s="26" t="str">
        <x:v>Primary</x:v>
      </x:c>
    </x:row>
    <x:row r="17">
      <x:c r="A17" s="26" t="str">
        <x:v>AOT</x:v>
      </x:c>
      <x:c r="B17" s="26" t="str">
        <x:v>SET</x:v>
      </x:c>
      <x:c r="C17" s="26" t="str">
        <x:v>Latest Reviewed Financial Result</x:v>
      </x:c>
      <x:c r="D17" s="26" t="str">
        <x:v>https://www.set.or.th/en/market/news-and-alert/newsdetails?id=106027100&amp;symbol=AOT</x:v>
      </x:c>
      <x:c r="E17" s="26" t="str">
        <x:v>Latest NPAT / EPS / financial performance</x:v>
      </x:c>
      <x:c r="F17" s="26" t="str">
        <x:v>9M FY2026 / Q3 FY2026</x:v>
      </x:c>
      <x:c r="G17" s="26" t="str">
        <x:v>2026-10-08</x:v>
      </x:c>
      <x:c r="H17" s="26" t="str">
        <x:v>Primary</x:v>
      </x:c>
    </x:row>
    <x:row r="18">
      <x:c r="A18" s="26" t="str">
        <x:v>AOT</x:v>
      </x:c>
      <x:c r="B18" s="26" t="str">
        <x:v>Company IR</x:v>
      </x:c>
      <x:c r="C18" s="26" t="str">
        <x:v>Investor Relations / Company Website</x:v>
      </x:c>
      <x:c r="D18" s="26" t="str">
        <x:v>https://investor.airportthai.co.th/</x:v>
      </x:c>
      <x:c r="E18" s="26" t="str">
        <x:v>Strategy / operating context / company materials</x:v>
      </x:c>
      <x:c r="F18" s="26" t="str">
        <x:v>9M FY2026 / Q3 FY2026</x:v>
      </x:c>
      <x:c r="G18" s="26" t="str">
        <x:v>2026-10-08</x:v>
      </x:c>
      <x:c r="H18" s="26" t="str">
        <x:v>Primary</x:v>
      </x:c>
    </x:row>
    <x:row r="20">
      <x:c r="A20" s="26" t="str">
        <x:v>DELTA</x:v>
      </x:c>
      <x:c r="B20" s="26" t="str">
        <x:v>Calculation / SET</x:v>
      </x:c>
      <x:c r="C20" s="26" t="str">
        <x:v>Debt / EBITDA screening calculation</x:v>
      </x:c>
      <x:c r="D20" s="26" t="str">
        <x:v>https://www.set.or.th/en/market/product/stock/quote/DELTA/factsheet</x:v>
      </x:c>
      <x:c r="E20" s="26" t="str">
        <x:v>Approx. Debt/EBITDA using SET EV, MCap, cash and EBITDA</x:v>
      </x:c>
      <x:c r="F20" s="26" t="str">
        <x:v>Q2/2026 / 07 Oct 2026</x:v>
      </x:c>
      <x:c r="G20" s="26" t="str">
        <x:v>2026-10-08</x:v>
      </x:c>
      <x:c r="H20" s="26" t="str">
        <x:v>Primary + Calculation</x:v>
      </x:c>
    </x:row>
    <x:row r="21">
      <x:c r="A21" s="26" t="str">
        <x:v>PTT</x:v>
      </x:c>
      <x:c r="B21" s="26" t="str">
        <x:v>SET</x:v>
      </x:c>
      <x:c r="C21" s="26" t="str">
        <x:v>Financial Statements Analysis</x:v>
      </x:c>
      <x:c r="D21" s="26" t="str">
        <x:v>https://www.set.or.th/en/market/product/stock/quote/PTT/financial-statement/financial-statements-analysis</x:v>
      </x:c>
      <x:c r="E21" s="26" t="str">
        <x:v>Total Interest Bearing Debt / EBITDA = 2.22x</x:v>
      </x:c>
      <x:c r="F21" s="26" t="str">
        <x:v>6M/2026</x:v>
      </x:c>
      <x:c r="G21" s="26" t="str">
        <x:v>2026-10-08</x:v>
      </x:c>
      <x:c r="H21" s="26" t="str">
        <x:v>Primary</x:v>
      </x:c>
    </x:row>
    <x:row r="22">
      <x:c r="A22" s="26" t="str">
        <x:v>KTB</x:v>
      </x:c>
      <x:c r="B22" s="26" t="str">
        <x:v>SET</x:v>
      </x:c>
      <x:c r="C22" s="26" t="str">
        <x:v>SET Factsheet</x:v>
      </x:c>
      <x:c r="D22" s="26" t="str">
        <x:v>https://www.set.or.th/en/market/product/stock/quote/KTB/factsheet</x:v>
      </x:c>
      <x:c r="E22" s="26" t="str">
        <x:v>Price / Market Cap / Valuation / Company facts</x:v>
      </x:c>
      <x:c r="F22" s="26" t="str">
        <x:v>2026-10-07</x:v>
      </x:c>
      <x:c r="G22" s="26" t="str">
        <x:v>2026-10-08</x:v>
      </x:c>
      <x:c r="H22" s="26" t="str">
        <x:v>Primary</x:v>
      </x:c>
    </x:row>
    <x:row r="23">
      <x:c r="A23" s="26" t="str">
        <x:v>KTB</x:v>
      </x:c>
      <x:c r="B23" s="26" t="str">
        <x:v>Primary Financial</x:v>
      </x:c>
      <x:c r="C23" s="26" t="str">
        <x:v>Latest 2Q/1H2026 Result</x:v>
      </x:c>
      <x:c r="D23" s="26" t="str">
        <x:v>https://www.set.or.th/th/market/product/stock/quote/KTB/financial-statement/latest/income</x:v>
      </x:c>
      <x:c r="E23" s="26" t="str">
        <x:v>Latest earnings / asset quality / operating performance</x:v>
      </x:c>
      <x:c r="F23" s="26" t="str">
        <x:v>1H2026 / Q2 2026</x:v>
      </x:c>
      <x:c r="G23" s="26" t="str">
        <x:v>2026-10-08</x:v>
      </x:c>
      <x:c r="H23" s="26" t="str">
        <x:v>Primary</x:v>
      </x:c>
    </x:row>
    <x:row r="24">
      <x:c r="A24" s="26" t="str">
        <x:v>KTB</x:v>
      </x:c>
      <x:c r="B24" s="26" t="str">
        <x:v>Company IR</x:v>
      </x:c>
      <x:c r="C24" s="26" t="str">
        <x:v>Investor Relations / Company Website</x:v>
      </x:c>
      <x:c r="D24" s="26" t="str">
        <x:v>https://krungthai.com/en/investor-relations</x:v>
      </x:c>
      <x:c r="E24" s="26" t="str">
        <x:v>Strategy / management / operating context</x:v>
      </x:c>
      <x:c r="F24" s="26" t="str">
        <x:v>2026</x:v>
      </x:c>
      <x:c r="G24" s="26" t="str">
        <x:v>2026-10-08</x:v>
      </x:c>
      <x:c r="H24" s="26" t="str">
        <x:v>Primary + Calculation</x:v>
      </x:c>
    </x:row>
    <x:row r="25">
      <x:c r="A25" s="26" t="str">
        <x:v>PTTEP</x:v>
      </x:c>
      <x:c r="B25" s="26" t="str">
        <x:v>SET</x:v>
      </x:c>
      <x:c r="C25" s="26" t="str">
        <x:v>SET Factsheet</x:v>
      </x:c>
      <x:c r="D25" s="26" t="str">
        <x:v>https://www.set.or.th/en/market/product/stock/quote/PTTEP/factsheet</x:v>
      </x:c>
      <x:c r="E25" s="26" t="str">
        <x:v>Price / Market Cap / Valuation / Company facts</x:v>
      </x:c>
      <x:c r="F25" s="26" t="str">
        <x:v>2026-10-07</x:v>
      </x:c>
      <x:c r="G25" s="26" t="str">
        <x:v>2026-10-08</x:v>
      </x:c>
    </x:row>
    <x:row r="26">
      <x:c r="A26" s="26" t="str">
        <x:v>PTTEP</x:v>
      </x:c>
      <x:c r="B26" s="26" t="str">
        <x:v>Primary Financial</x:v>
      </x:c>
      <x:c r="C26" s="26" t="str">
        <x:v>Latest 2Q/1H2026 Result</x:v>
      </x:c>
      <x:c r="D26" s="26" t="str">
        <x:v>https://www.pttep.com/en/newsroom/press-releases/1192/pttep-announces-first-half-performance-of-2026-and-interim-dividend-payment-at-thb-450-per-share</x:v>
      </x:c>
      <x:c r="E26" s="26" t="str">
        <x:v>Latest earnings / asset quality / operating performance</x:v>
      </x:c>
      <x:c r="F26" s="26" t="str">
        <x:v>1H2026 / Q2 2026</x:v>
      </x:c>
      <x:c r="G26" s="26" t="str">
        <x:v>2026-10-08</x:v>
      </x:c>
    </x:row>
    <x:row r="27">
      <x:c r="A27" s="26" t="str">
        <x:v>PTTEP</x:v>
      </x:c>
      <x:c r="B27" s="26" t="str">
        <x:v>Company IR</x:v>
      </x:c>
      <x:c r="C27" s="26" t="str">
        <x:v>Investor Relations / Company Website</x:v>
      </x:c>
      <x:c r="D27" s="26" t="str">
        <x:v>https://www.pttep.com/en/investor-relations</x:v>
      </x:c>
      <x:c r="E27" s="26" t="str">
        <x:v>Strategy / management / operating context</x:v>
      </x:c>
      <x:c r="F27" s="26" t="str">
        <x:v>2026</x:v>
      </x:c>
      <x:c r="G27" s="26" t="str">
        <x:v>2026-10-08</x:v>
      </x:c>
    </x:row>
    <x:row r="28">
      <x:c r="A28" s="26" t="str">
        <x:v>KBANK</x:v>
      </x:c>
      <x:c r="B28" s="26" t="str">
        <x:v>SET</x:v>
      </x:c>
      <x:c r="C28" s="26" t="str">
        <x:v>SET Factsheet</x:v>
      </x:c>
      <x:c r="D28" s="26" t="str">
        <x:v>https://www.set.or.th/th/market/product/stock/quote/KBANK%20/factsheet</x:v>
      </x:c>
      <x:c r="E28" s="26" t="str">
        <x:v>Price / Market Cap / Valuation / Company facts</x:v>
      </x:c>
      <x:c r="F28" s="26" t="str">
        <x:v>2026-10-07</x:v>
      </x:c>
      <x:c r="G28" s="26" t="str">
        <x:v>2026-10-08</x:v>
      </x:c>
    </x:row>
    <x:row r="29">
      <x:c r="A29" s="26" t="str">
        <x:v>KBANK</x:v>
      </x:c>
      <x:c r="B29" s="26" t="str">
        <x:v>Primary Financial</x:v>
      </x:c>
      <x:c r="C29" s="26" t="str">
        <x:v>Latest 2Q/1H2026 Result</x:v>
      </x:c>
      <x:c r="D29" s="26" t="str">
        <x:v>https://www.kasikornbank.com/en/News/Pages/q2_2026.aspx</x:v>
      </x:c>
      <x:c r="E29" s="26" t="str">
        <x:v>Latest earnings / asset quality / operating performance</x:v>
      </x:c>
      <x:c r="F29" s="26" t="str">
        <x:v>1H2026 / Q2 2026</x:v>
      </x:c>
      <x:c r="G29" s="26" t="str">
        <x:v>2026-10-08</x:v>
      </x:c>
    </x:row>
    <x:row r="30">
      <x:c r="A30" s="26" t="str">
        <x:v>KBANK</x:v>
      </x:c>
      <x:c r="B30" s="26" t="str">
        <x:v>Company IR</x:v>
      </x:c>
      <x:c r="C30" s="26" t="str">
        <x:v>Investor Relations / Company Website</x:v>
      </x:c>
      <x:c r="D30" s="26" t="str">
        <x:v>https://www.kasikornbank.com/en/IR/Pages/home.aspx</x:v>
      </x:c>
      <x:c r="E30" s="26" t="str">
        <x:v>Strategy / management / operating context</x:v>
      </x:c>
      <x:c r="F30" s="26" t="str">
        <x:v>2026</x:v>
      </x:c>
      <x:c r="G30" s="26" t="str">
        <x:v>2026-10-08</x:v>
      </x:c>
    </x:row>
    <x:row r="31">
      <x:c r="A31" s="26" t="str">
        <x:v>SCB</x:v>
      </x:c>
      <x:c r="B31" s="26" t="str">
        <x:v>SET</x:v>
      </x:c>
      <x:c r="C31" s="26" t="str">
        <x:v>SET Factsheet</x:v>
      </x:c>
      <x:c r="D31" s="26" t="str">
        <x:v>https://www.set.or.th/en/market/product/stock/quote/SCB/factsheet/</x:v>
      </x:c>
      <x:c r="E31" s="26" t="str">
        <x:v>Price / Market Cap / Valuation / Company facts</x:v>
      </x:c>
      <x:c r="F31" s="26" t="str">
        <x:v>2026-10-07</x:v>
      </x:c>
      <x:c r="G31" s="26" t="str">
        <x:v>2026-10-08</x:v>
      </x:c>
    </x:row>
    <x:row r="32">
      <x:c r="A32" s="26" t="str">
        <x:v>SCB</x:v>
      </x:c>
      <x:c r="B32" s="26" t="str">
        <x:v>Primary Financial</x:v>
      </x:c>
      <x:c r="C32" s="26" t="str">
        <x:v>Latest 2Q/1H2026 Result</x:v>
      </x:c>
      <x:c r="D32" s="26" t="str">
        <x:v>https://investor.scbx.com/en/newsroom/press-releases/202896/scbx-reports-2q26-net-profit-of-thb-11117-million-up-9-qoq</x:v>
      </x:c>
      <x:c r="E32" s="26" t="str">
        <x:v>Latest earnings / asset quality / operating performance</x:v>
      </x:c>
      <x:c r="F32" s="26" t="str">
        <x:v>1H2026 / Q2 2026</x:v>
      </x:c>
      <x:c r="G32" s="26" t="str">
        <x:v>2026-10-08</x:v>
      </x:c>
    </x:row>
    <x:row r="33">
      <x:c r="A33" s="26" t="str">
        <x:v>SCB</x:v>
      </x:c>
      <x:c r="B33" s="26" t="str">
        <x:v>Company IR</x:v>
      </x:c>
      <x:c r="C33" s="26" t="str">
        <x:v>Investor Relations / Company Website</x:v>
      </x:c>
      <x:c r="D33" s="26" t="str">
        <x:v>https://investor.scbx.com/en/resource-center</x:v>
      </x:c>
      <x:c r="E33" s="26" t="str">
        <x:v>Strategy / management / operating context</x:v>
      </x:c>
      <x:c r="F33" s="26" t="str">
        <x:v>2026</x:v>
      </x:c>
      <x:c r="G33" s="26" t="str">
        <x:v>2026-10-08</x:v>
      </x:c>
    </x:row>
    <x:row r="34">
      <x:c r="A34" s="26" t="str">
        <x:v>TRUE</x:v>
      </x:c>
      <x:c r="B34" s="26" t="str">
        <x:v>SET</x:v>
      </x:c>
      <x:c r="C34" s="26" t="str">
        <x:v>SET Factsheet</x:v>
      </x:c>
      <x:c r="D34" s="26" t="str">
        <x:v>https://www.set.or.th/en/market/product/stock/quote/TRUE/factsheet</x:v>
      </x:c>
      <x:c r="E34" s="26" t="str">
        <x:v>Price / Market Cap / Valuation / Company facts</x:v>
      </x:c>
      <x:c r="F34" s="26" t="str">
        <x:v>2026-10-07</x:v>
      </x:c>
      <x:c r="G34" s="26" t="str">
        <x:v>2026-10-08</x:v>
      </x:c>
    </x:row>
    <x:row r="35">
      <x:c r="A35" s="26" t="str">
        <x:v>TRUE</x:v>
      </x:c>
      <x:c r="B35" s="26" t="str">
        <x:v>Primary Financial</x:v>
      </x:c>
      <x:c r="C35" s="26" t="str">
        <x:v>Latest 2Q/1H2026 Result</x:v>
      </x:c>
      <x:c r="D35" s="26" t="str">
        <x:v>https://www.set.or.th/th/market/news-and-alert/newsdetails?id=105627201&amp;symbol=TRUE</x:v>
      </x:c>
      <x:c r="E35" s="26" t="str">
        <x:v>Latest earnings / asset quality / operating performance</x:v>
      </x:c>
      <x:c r="F35" s="26" t="str">
        <x:v>1H2026 / Q2 2026</x:v>
      </x:c>
      <x:c r="G35" s="26" t="str">
        <x:v>2026-10-08</x:v>
      </x:c>
    </x:row>
    <x:row r="36">
      <x:c r="A36" s="26" t="str">
        <x:v>TRUE</x:v>
      </x:c>
      <x:c r="B36" s="26" t="str">
        <x:v>Company IR</x:v>
      </x:c>
      <x:c r="C36" s="26" t="str">
        <x:v>Investor Relations / Company Website</x:v>
      </x:c>
      <x:c r="D36" s="26" t="str">
        <x:v>https://investor-th.truecorp.co.th/financials.html</x:v>
      </x:c>
      <x:c r="E36" s="26" t="str">
        <x:v>Strategy / management / operating context</x:v>
      </x:c>
      <x:c r="F36" s="26" t="str">
        <x:v>2026</x:v>
      </x:c>
      <x:c r="G36" s="26" t="str">
        <x:v>2026-10-08</x:v>
      </x:c>
    </x:row>
    <x:row r="37">
      <x:c r="A37" s="26" t="str">
        <x:v>CPALL</x:v>
      </x:c>
      <x:c r="B37" s="26" t="str">
        <x:v>SET</x:v>
      </x:c>
      <x:c r="C37" s="26" t="str">
        <x:v>SET Factsheet</x:v>
      </x:c>
      <x:c r="D37" s="26" t="str">
        <x:v>https://www.set.or.th/en/market/product/stock/quote/CPALL/factsheet</x:v>
      </x:c>
      <x:c r="E37" s="26" t="str">
        <x:v>Price / Market Cap / Valuation / Business</x:v>
      </x:c>
      <x:c r="F37" s="26" t="str">
        <x:v>2026-10-07</x:v>
      </x:c>
      <x:c r="G37" s="26" t="str">
        <x:v>2026-10-08</x:v>
      </x:c>
    </x:row>
    <x:row r="38">
      <x:c r="A38" s="26" t="str">
        <x:v>CPALL</x:v>
      </x:c>
      <x:c r="B38" s="26" t="str">
        <x:v>Primary Financial</x:v>
      </x:c>
      <x:c r="C38" s="26" t="str">
        <x:v>Latest 2Q/1H2026 Result</x:v>
      </x:c>
      <x:c r="D38" s="26" t="str">
        <x:v>https://www.set.or.th/en/market/news-and-alert/newsdetails?id=105990300&amp;symbol=CPALL</x:v>
      </x:c>
      <x:c r="E38" s="26" t="str">
        <x:v>Latest earnings / financial performance</x:v>
      </x:c>
      <x:c r="F38" s="26" t="str">
        <x:v>1H2026 / Q2 2026</x:v>
      </x:c>
      <x:c r="G38" s="26" t="str">
        <x:v>2026-10-08</x:v>
      </x:c>
    </x:row>
    <x:row r="39">
      <x:c r="A39" s="26" t="str">
        <x:v>CPALL</x:v>
      </x:c>
      <x:c r="B39" s="26" t="str">
        <x:v>Company / SET Snapshot</x:v>
      </x:c>
      <x:c r="C39" s="26" t="str">
        <x:v>Investor / operating context</x:v>
      </x:c>
      <x:c r="D39" s="26" t="str">
        <x:v>https://www.cpall.co.th/investor</x:v>
      </x:c>
      <x:c r="E39" s="26" t="str">
        <x:v>Strategy / operating context / financial highlights</x:v>
      </x:c>
      <x:c r="F39" s="26" t="str">
        <x:v>2026</x:v>
      </x:c>
      <x:c r="G39" s="26" t="str">
        <x:v>2026-10-08</x:v>
      </x:c>
    </x:row>
    <x:row r="40">
      <x:c r="A40" s="26" t="str">
        <x:v>BBL</x:v>
      </x:c>
      <x:c r="B40" s="26" t="str">
        <x:v>SET</x:v>
      </x:c>
      <x:c r="C40" s="26" t="str">
        <x:v>SET Factsheet</x:v>
      </x:c>
      <x:c r="D40" s="26" t="str">
        <x:v>https://www.set.or.th/en/market/product/stock/quote/BBL/factsheet</x:v>
      </x:c>
      <x:c r="E40" s="26" t="str">
        <x:v>Price / Market Cap / Valuation / Business</x:v>
      </x:c>
      <x:c r="F40" s="26" t="str">
        <x:v>2026-10-07</x:v>
      </x:c>
      <x:c r="G40" s="26" t="str">
        <x:v>2026-10-08</x:v>
      </x:c>
    </x:row>
    <x:row r="41">
      <x:c r="A41" s="26" t="str">
        <x:v>BBL</x:v>
      </x:c>
      <x:c r="B41" s="26" t="str">
        <x:v>Primary Financial</x:v>
      </x:c>
      <x:c r="C41" s="26" t="str">
        <x:v>Latest 2Q/1H2026 Result</x:v>
      </x:c>
      <x:c r="D41" s="26" t="str">
        <x:v>https://www.set.or.th/en/market/news-and-alert/newsdetails?id=106562800&amp;symbol=BBL</x:v>
      </x:c>
      <x:c r="E41" s="26" t="str">
        <x:v>Latest earnings / financial performance</x:v>
      </x:c>
      <x:c r="F41" s="26" t="str">
        <x:v>1H2026 / Q2 2026</x:v>
      </x:c>
      <x:c r="G41" s="26" t="str">
        <x:v>2026-10-08</x:v>
      </x:c>
    </x:row>
    <x:row r="42">
      <x:c r="A42" s="26" t="str">
        <x:v>BBL</x:v>
      </x:c>
      <x:c r="B42" s="26" t="str">
        <x:v>Company / SET Snapshot</x:v>
      </x:c>
      <x:c r="C42" s="26" t="str">
        <x:v>Investor / operating context</x:v>
      </x:c>
      <x:c r="D42" s="26" t="str">
        <x:v>https://www.bangkokbank.com/en/Investor-Relations</x:v>
      </x:c>
      <x:c r="E42" s="26" t="str">
        <x:v>Strategy / operating context / financial highlights</x:v>
      </x:c>
      <x:c r="F42" s="26" t="str">
        <x:v>2026</x:v>
      </x:c>
      <x:c r="G42" s="26" t="str">
        <x:v>2026-10-08</x:v>
      </x:c>
    </x:row>
    <x:row r="43">
      <x:c r="A43" s="26" t="str">
        <x:v>SCC</x:v>
      </x:c>
      <x:c r="B43" s="26" t="str">
        <x:v>SET</x:v>
      </x:c>
      <x:c r="C43" s="26" t="str">
        <x:v>SET Factsheet</x:v>
      </x:c>
      <x:c r="D43" s="26" t="str">
        <x:v>https://www.set.or.th/en/market/product/stock/quote/SCC/factsheet</x:v>
      </x:c>
      <x:c r="E43" s="26" t="str">
        <x:v>Price / Market Cap / Valuation / Business</x:v>
      </x:c>
      <x:c r="F43" s="26" t="str">
        <x:v>2026-10-07</x:v>
      </x:c>
      <x:c r="G43" s="26" t="str">
        <x:v>2026-10-08</x:v>
      </x:c>
    </x:row>
    <x:row r="44">
      <x:c r="A44" s="26" t="str">
        <x:v>SCC</x:v>
      </x:c>
      <x:c r="B44" s="26" t="str">
        <x:v>Primary Financial</x:v>
      </x:c>
      <x:c r="C44" s="26" t="str">
        <x:v>Latest 2Q/1H2026 Result</x:v>
      </x:c>
      <x:c r="D44" s="26" t="str">
        <x:v>https://www.set.or.th/en/market/news-and-alert/newsdetails?id=105502000&amp;symbol=SCC</x:v>
      </x:c>
      <x:c r="E44" s="26" t="str">
        <x:v>Latest earnings / financial performance</x:v>
      </x:c>
      <x:c r="F44" s="26" t="str">
        <x:v>1H2026 / Q2 2026</x:v>
      </x:c>
      <x:c r="G44" s="26" t="str">
        <x:v>2026-10-08</x:v>
      </x:c>
    </x:row>
    <x:row r="45">
      <x:c r="A45" s="26" t="str">
        <x:v>SCC</x:v>
      </x:c>
      <x:c r="B45" s="26" t="str">
        <x:v>Company / SET Snapshot</x:v>
      </x:c>
      <x:c r="C45" s="26" t="str">
        <x:v>Investor / operating context</x:v>
      </x:c>
      <x:c r="D45" s="26" t="str">
        <x:v>https://www.scg.com/investor-relations</x:v>
      </x:c>
      <x:c r="E45" s="26" t="str">
        <x:v>Strategy / operating context / financial highlights</x:v>
      </x:c>
      <x:c r="F45" s="26" t="str">
        <x:v>2026</x:v>
      </x:c>
      <x:c r="G45" s="26" t="str">
        <x:v>2026-10-08</x:v>
      </x:c>
    </x:row>
    <x:row r="46">
      <x:c r="A46" s="26" t="str">
        <x:v>BDMS</x:v>
      </x:c>
      <x:c r="B46" s="26" t="str">
        <x:v>SET</x:v>
      </x:c>
      <x:c r="C46" s="26" t="str">
        <x:v>SET Factsheet</x:v>
      </x:c>
      <x:c r="D46" s="26" t="str">
        <x:v>https://www.set.or.th/en/market/product/stock/quote/BDMS/factsheet</x:v>
      </x:c>
      <x:c r="E46" s="26" t="str">
        <x:v>Price / Market Cap / Valuation / Business</x:v>
      </x:c>
      <x:c r="F46" s="26" t="str">
        <x:v>2026-10-07</x:v>
      </x:c>
      <x:c r="G46" s="26" t="str">
        <x:v>2026-10-08</x:v>
      </x:c>
    </x:row>
    <x:row r="47">
      <x:c r="A47" s="26" t="str">
        <x:v>BDMS</x:v>
      </x:c>
      <x:c r="B47" s="26" t="str">
        <x:v>Primary Financial</x:v>
      </x:c>
      <x:c r="C47" s="26" t="str">
        <x:v>Latest 2Q/1H2026 Result</x:v>
      </x:c>
      <x:c r="D47" s="26" t="str">
        <x:v>https://www.set.or.th/en/market/news-and-alert/newsdetails?id=106062400&amp;symbol=BDMS</x:v>
      </x:c>
      <x:c r="E47" s="26" t="str">
        <x:v>Latest earnings / financial performance</x:v>
      </x:c>
      <x:c r="F47" s="26" t="str">
        <x:v>1H2026 / Q2 2026</x:v>
      </x:c>
      <x:c r="G47" s="26" t="str">
        <x:v>2026-10-08</x:v>
      </x:c>
    </x:row>
    <x:row r="48">
      <x:c r="A48" s="26" t="str">
        <x:v>BDMS</x:v>
      </x:c>
      <x:c r="B48" s="26" t="str">
        <x:v>Company / SET Snapshot</x:v>
      </x:c>
      <x:c r="C48" s="26" t="str">
        <x:v>Investor / operating context</x:v>
      </x:c>
      <x:c r="D48" s="26" t="str">
        <x:v>https://investor.bdms.co.th/en/financial-info/financial-highlights</x:v>
      </x:c>
      <x:c r="E48" s="26" t="str">
        <x:v>Strategy / operating context / financial highlights</x:v>
      </x:c>
      <x:c r="F48" s="26" t="str">
        <x:v>2026</x:v>
      </x:c>
      <x:c r="G48" s="26" t="str">
        <x:v>2026-10-08</x:v>
      </x:c>
    </x:row>
    <x:row r="49">
      <x:c r="A49" s="26" t="str">
        <x:v>CPN</x:v>
      </x:c>
      <x:c r="B49" s="26" t="str">
        <x:v>SET</x:v>
      </x:c>
      <x:c r="C49" s="26" t="str">
        <x:v>SET Factsheet</x:v>
      </x:c>
      <x:c r="D49" s="26" t="str">
        <x:v>https://www.set.or.th/en/market/product/stock/quote/CPN/factsheet</x:v>
      </x:c>
      <x:c r="E49" s="26" t="str">
        <x:v>Price / Market Cap / Valuation / Business</x:v>
      </x:c>
      <x:c r="F49" s="26" t="str">
        <x:v>2026-10-07</x:v>
      </x:c>
      <x:c r="G49" s="26" t="str">
        <x:v>2026-10-08</x:v>
      </x:c>
    </x:row>
    <x:row r="50">
      <x:c r="A50" s="26" t="str">
        <x:v>CPN</x:v>
      </x:c>
      <x:c r="B50" s="26" t="str">
        <x:v>Primary Financial</x:v>
      </x:c>
      <x:c r="C50" s="26" t="str">
        <x:v>Latest 2Q/1H2026 Result</x:v>
      </x:c>
      <x:c r="D50" s="26" t="str">
        <x:v>https://www.set.or.th/en/market/news-and-alert/newsdetails?id=105742500&amp;symbol=CPN</x:v>
      </x:c>
      <x:c r="E50" s="26" t="str">
        <x:v>Latest earnings / financial performance</x:v>
      </x:c>
      <x:c r="F50" s="26" t="str">
        <x:v>1H2026 / Q2 2026</x:v>
      </x:c>
      <x:c r="G50" s="26" t="str">
        <x:v>2026-10-08</x:v>
      </x:c>
    </x:row>
    <x:row r="51">
      <x:c r="A51" s="26" t="str">
        <x:v>CPN</x:v>
      </x:c>
      <x:c r="B51" s="26" t="str">
        <x:v>Company / SET Snapshot</x:v>
      </x:c>
      <x:c r="C51" s="26" t="str">
        <x:v>Investor / operating context</x:v>
      </x:c>
      <x:c r="D51" s="26" t="str">
        <x:v>https://lssmedia.setlink.set.or.th/2026/6M/CPN-6M69-ListedCompanySnapshot-EN.html</x:v>
      </x:c>
      <x:c r="E51" s="26" t="str">
        <x:v>Strategy / operating context / financial highlights</x:v>
      </x:c>
      <x:c r="F51" s="26" t="str">
        <x:v>2026</x:v>
      </x:c>
      <x:c r="G51" s="26" t="str">
        <x:v>2026-10-08</x:v>
      </x:c>
    </x:row>
    <x:row r="52">
      <x:c r="A52" s="26" t="str">
        <x:v>TTB</x:v>
      </x:c>
      <x:c r="B52" s="26" t="str">
        <x:v>SET</x:v>
      </x:c>
      <x:c r="C52" s="26" t="str">
        <x:v>SET Factsheet</x:v>
      </x:c>
      <x:c r="D52" s="26" t="str">
        <x:v>https://www.set.or.th/en/market/product/stock/quote/TTB/factsheet</x:v>
      </x:c>
      <x:c r="E52" s="26" t="str">
        <x:v>Price / Market Cap / Valuation / Business</x:v>
      </x:c>
      <x:c r="F52" s="26" t="str">
        <x:v>2026-10-07</x:v>
      </x:c>
      <x:c r="G52" s="26" t="str">
        <x:v>2026-10-08</x:v>
      </x:c>
    </x:row>
    <x:row r="53">
      <x:c r="A53" s="26" t="str">
        <x:v>TTB</x:v>
      </x:c>
      <x:c r="B53" s="26" t="str">
        <x:v>SET</x:v>
      </x:c>
      <x:c r="C53" s="26" t="str">
        <x:v>1H26 F45</x:v>
      </x:c>
      <x:c r="D53" s="26" t="str">
        <x:v>https://www.set.or.th/en/market/news-and-alert/newsdetails?id=105471300&amp;symbol=TTB</x:v>
      </x:c>
      <x:c r="E53" s="26" t="str">
        <x:v>Q2 / 1H26 profit</x:v>
      </x:c>
      <x:c r="F53" s="26" t="str">
        <x:v>1H2026</x:v>
      </x:c>
      <x:c r="G53" s="26" t="str">
        <x:v>2026-10-08</x:v>
      </x:c>
    </x:row>
    <x:row r="54">
      <x:c r="A54" s="26" t="str">
        <x:v>CRC</x:v>
      </x:c>
      <x:c r="B54" s="26" t="str">
        <x:v>SET</x:v>
      </x:c>
      <x:c r="C54" s="26" t="str">
        <x:v>SET Factsheet</x:v>
      </x:c>
      <x:c r="D54" s="26" t="str">
        <x:v>https://www.set.or.th/en/market/product/stock/quote/CRC/factsheet</x:v>
      </x:c>
      <x:c r="E54" s="26" t="str">
        <x:v>Price / Market Cap / Valuation / Business</x:v>
      </x:c>
      <x:c r="F54" s="26" t="str">
        <x:v>2026-10-07</x:v>
      </x:c>
      <x:c r="G54" s="26" t="str">
        <x:v>2026-10-08</x:v>
      </x:c>
    </x:row>
    <x:row r="55">
      <x:c r="A55" s="26" t="str">
        <x:v>CRC</x:v>
      </x:c>
      <x:c r="B55" s="26" t="str">
        <x:v>SET Snapshot</x:v>
      </x:c>
      <x:c r="C55" s="26" t="str">
        <x:v>6M26 Snapshot</x:v>
      </x:c>
      <x:c r="D55" s="26" t="str">
        <x:v>https://lssmedia.setlink.set.or.th/2026/6M/CRC-6M69-ListedCompanySnapshot-EN.html</x:v>
      </x:c>
      <x:c r="E55" s="26" t="str">
        <x:v>Q2/6M26 performance</x:v>
      </x:c>
      <x:c r="F55" s="26" t="str">
        <x:v>1H2026</x:v>
      </x:c>
      <x:c r="G55" s="26" t="str">
        <x:v>2026-10-08</x:v>
      </x:c>
    </x:row>
    <x:row r="56">
      <x:c r="A56" s="26" t="str">
        <x:v>CPF</x:v>
      </x:c>
      <x:c r="B56" s="26" t="str">
        <x:v>SET Snapshot</x:v>
      </x:c>
      <x:c r="C56" s="26" t="str">
        <x:v>6M26 Snapshot</x:v>
      </x:c>
      <x:c r="D56" s="26" t="str">
        <x:v>https://lssmedia.setlink.set.or.th/2026/6M/CPF-6M69-ListedCompanySnapshot-EN.html</x:v>
      </x:c>
      <x:c r="E56" s="26" t="str">
        <x:v>6M26 financials / major shareholders</x:v>
      </x:c>
      <x:c r="F56" s="26" t="str">
        <x:v>1H2026</x:v>
      </x:c>
      <x:c r="G56" s="26" t="str">
        <x:v>2026-10-08</x:v>
      </x:c>
    </x:row>
    <x:row r="57">
      <x:c r="A57" s="26" t="str">
        <x:v>TOP</x:v>
      </x:c>
      <x:c r="B57" s="26" t="str">
        <x:v>SET</x:v>
      </x:c>
      <x:c r="C57" s="26" t="str">
        <x:v>SET Factsheet</x:v>
      </x:c>
      <x:c r="D57" s="26" t="str">
        <x:v>https://www.set.or.th/en/market/product/stock/quote/TOP/factsheet</x:v>
      </x:c>
      <x:c r="E57" s="26" t="str">
        <x:v>Price / Market Cap / EBITDA / EV-EBITDA</x:v>
      </x:c>
      <x:c r="F57" s="26" t="str">
        <x:v>2026-10-07</x:v>
      </x:c>
      <x:c r="G57" s="26" t="str">
        <x:v>2026-10-08</x:v>
      </x:c>
    </x:row>
    <x:row r="58">
      <x:c r="A58" s="26" t="str">
        <x:v>IVL</x:v>
      </x:c>
      <x:c r="B58" s="26" t="str">
        <x:v>SET</x:v>
      </x:c>
      <x:c r="C58" s="26" t="str">
        <x:v>SET Factsheet</x:v>
      </x:c>
      <x:c r="D58" s="26" t="str">
        <x:v>https://www.set.or.th/en/market/product/stock/quote/IVL/factsheet</x:v>
      </x:c>
      <x:c r="E58" s="26" t="str">
        <x:v>Price / Market Cap / EBITDA / EV-EBITDA</x:v>
      </x:c>
      <x:c r="F58" s="26" t="str">
        <x:v>2026-10-07</x:v>
      </x:c>
      <x:c r="G58" s="26" t="str">
        <x:v>2026-10-08</x:v>
      </x:c>
    </x:row>
    <x:row r="59">
      <x:c r="A59" s="26" t="str">
        <x:v>IVL</x:v>
      </x:c>
      <x:c r="B59" s="26" t="str">
        <x:v>SET</x:v>
      </x:c>
      <x:c r="C59" s="26" t="str">
        <x:v>Q2 MD&amp;A</x:v>
      </x:c>
      <x:c r="D59" s="26" t="str">
        <x:v>https://www.set.or.th/th/market/news-and-alert/newsdetails?id=105846501&amp;symbol=IVL</x:v>
      </x:c>
      <x:c r="E59" s="26" t="str">
        <x:v>Q2/6M26 operating context</x:v>
      </x:c>
      <x:c r="F59" s="26" t="str">
        <x:v>Q2/2026</x:v>
      </x:c>
      <x:c r="G59" s="26" t="str">
        <x:v>2026-10-08</x:v>
      </x:c>
    </x:row>
    <x:row r="60">
      <x:c r="A60" s="26" t="str">
        <x:v>PTTGC</x:v>
      </x:c>
      <x:c r="B60" s="26" t="str">
        <x:v>SET</x:v>
      </x:c>
      <x:c r="C60" s="26" t="str">
        <x:v>SET Factsheet</x:v>
      </x:c>
      <x:c r="D60" s="26" t="str">
        <x:v>https://www.set.or.th/en/market/product/stock/quote/PTTGC/factsheet</x:v>
      </x:c>
      <x:c r="E60" s="26" t="str">
        <x:v>Price / Market Cap / Valuation / Business</x:v>
      </x:c>
      <x:c r="F60" s="26" t="str">
        <x:v>2026-10-08</x:v>
      </x:c>
      <x:c r="G60" s="26" t="str">
        <x:v>2026-10-09</x:v>
      </x:c>
    </x:row>
    <x:row r="61">
      <x:c r="A61" s="26" t="str">
        <x:v>PTTGC</x:v>
      </x:c>
      <x:c r="B61" s="26" t="str">
        <x:v>SET</x:v>
      </x:c>
      <x:c r="C61" s="26" t="str">
        <x:v>Q2/1H26 F45</x:v>
      </x:c>
      <x:c r="D61" s="26" t="str">
        <x:v>https://www.set.or.th/en/market/news-and-alert/newsdetails?id=105704400&amp;symbol=PTTGC</x:v>
      </x:c>
      <x:c r="E61" s="26" t="str">
        <x:v>Q2/1H26 NPAT</x:v>
      </x:c>
      <x:c r="F61" s="26" t="str">
        <x:v>1H2026</x:v>
      </x:c>
      <x:c r="G61" s="26" t="str">
        <x:v>2026-10-09</x:v>
      </x:c>
    </x:row>
    <x:row r="62">
      <x:c r="A62" s="26" t="str">
        <x:v>PTTGC</x:v>
      </x:c>
      <x:c r="B62" s="26" t="str">
        <x:v>Company IR</x:v>
      </x:c>
      <x:c r="C62" s="26" t="str">
        <x:v>Q2/2026 Performance</x:v>
      </x:c>
      <x:c r="D62" s="26" t="str">
        <x:v>https://www.pttgcgroup.com/en/investor-relations/home</x:v>
      </x:c>
      <x:c r="E62" s="26" t="str">
        <x:v>Revenue / Adjusted EBITDA / balance sheet</x:v>
      </x:c>
      <x:c r="F62" s="26" t="str">
        <x:v>Q2/2026</x:v>
      </x:c>
      <x:c r="G62" s="26" t="str">
        <x:v>2026-10-09</x:v>
      </x:c>
    </x:row>
    <x:row r="63">
      <x:c r="A63" s="26" t="str">
        <x:v>THAI</x:v>
      </x:c>
      <x:c r="B63" s="26" t="str">
        <x:v>SET</x:v>
      </x:c>
      <x:c r="C63" s="26" t="str">
        <x:v>SET Factsheet</x:v>
      </x:c>
      <x:c r="D63" s="26" t="str">
        <x:v>https://www.set.or.th/en/market/product/stock/quote/THAI/factsheet</x:v>
      </x:c>
      <x:c r="E63" s="26" t="str">
        <x:v>Price / Market Cap / Valuation</x:v>
      </x:c>
      <x:c r="F63" s="26" t="str">
        <x:v>2026-10-08</x:v>
      </x:c>
      <x:c r="G63" s="26" t="str">
        <x:v>2026-10-09</x:v>
      </x:c>
    </x:row>
    <x:row r="64">
      <x:c r="A64" s="26" t="str">
        <x:v>THAI</x:v>
      </x:c>
      <x:c r="B64" s="26" t="str">
        <x:v>SET Snapshot</x:v>
      </x:c>
      <x:c r="C64" s="26" t="str">
        <x:v>6M26 Snapshot</x:v>
      </x:c>
      <x:c r="D64" s="26" t="str">
        <x:v>https://lssmedia.setlink.set.or.th/2026/6M/THAI-6M69-ListedCompanySnapshot-EN.html</x:v>
      </x:c>
      <x:c r="E64" s="26" t="str">
        <x:v>1H26 revenue / NPAT / D/E / operations</x:v>
      </x:c>
      <x:c r="F64" s="26" t="str">
        <x:v>1H2026</x:v>
      </x:c>
      <x:c r="G64" s="26" t="str">
        <x:v>2026-10-09</x:v>
      </x:c>
    </x:row>
    <x:row r="65">
      <x:c r="A65" s="26" t="str">
        <x:v>BH</x:v>
      </x:c>
      <x:c r="B65" s="26" t="str">
        <x:v>SET</x:v>
      </x:c>
      <x:c r="C65" s="26" t="str">
        <x:v>SET Factsheet</x:v>
      </x:c>
      <x:c r="D65" s="26" t="str">
        <x:v>https://www.set.or.th/en/market/product/stock/quote/BH/factsheet</x:v>
      </x:c>
      <x:c r="E65" s="26" t="str">
        <x:v>Price / Market Cap / Valuation</x:v>
      </x:c>
      <x:c r="F65" s="26" t="str">
        <x:v>2026-10-08</x:v>
      </x:c>
      <x:c r="G65" s="26" t="str">
        <x:v>2026-10-09</x:v>
      </x:c>
    </x:row>
    <x:row r="66">
      <x:c r="A66" s="26" t="str">
        <x:v>BH</x:v>
      </x:c>
      <x:c r="B66" s="26" t="str">
        <x:v>SET Snapshot</x:v>
      </x:c>
      <x:c r="C66" s="26" t="str">
        <x:v>6M26 Snapshot</x:v>
      </x:c>
      <x:c r="D66" s="26" t="str">
        <x:v>https://lssmedia.setlink.set.or.th/2026/6M/BH-6M69-ListedCompanySnapshot-EN.html</x:v>
      </x:c>
      <x:c r="E66" s="26" t="str">
        <x:v>1H26 revenue / NPAT / margins</x:v>
      </x:c>
      <x:c r="F66" s="26" t="str">
        <x:v>1H2026</x:v>
      </x:c>
      <x:c r="G66" s="26" t="str">
        <x:v>2026-10-09</x:v>
      </x:c>
    </x:row>
    <x:row r="67">
      <x:c r="A67" s="26" t="str">
        <x:v>OR</x:v>
      </x:c>
      <x:c r="B67" s="26" t="str">
        <x:v>SET</x:v>
      </x:c>
      <x:c r="C67" s="26" t="str">
        <x:v>SET Factsheet</x:v>
      </x:c>
      <x:c r="D67" s="26" t="str">
        <x:v>https://www.set.or.th/en/market/product/stock/quote/OR/factsheet</x:v>
      </x:c>
      <x:c r="E67" s="26" t="str">
        <x:v>Price / Market Cap / Valuation</x:v>
      </x:c>
      <x:c r="F67" s="26" t="str">
        <x:v>2026-10-08</x:v>
      </x:c>
      <x:c r="G67" s="26" t="str">
        <x:v>2026-10-09</x:v>
      </x:c>
    </x:row>
    <x:row r="68">
      <x:c r="A68" s="26" t="str">
        <x:v>OR</x:v>
      </x:c>
      <x:c r="B68" s="26" t="str">
        <x:v>SET</x:v>
      </x:c>
      <x:c r="C68" s="26" t="str">
        <x:v>Q2/1H26 F45</x:v>
      </x:c>
      <x:c r="D68" s="26" t="str">
        <x:v>https://www.set.or.th/en/market/news-and-alert/newsdetails?id=105675100&amp;symbol=OR</x:v>
      </x:c>
      <x:c r="E68" s="26" t="str">
        <x:v>Q2 / 1H26 profit</x:v>
      </x:c>
      <x:c r="F68" s="26" t="str">
        <x:v>1H2026</x:v>
      </x:c>
      <x:c r="G68" s="26" t="str">
        <x:v>2026-10-09</x:v>
      </x:c>
    </x:row>
    <x:row r="69">
      <x:c r="A69" s="26" t="str">
        <x:v>GPSC</x:v>
      </x:c>
      <x:c r="B69" s="26" t="str">
        <x:v>SET</x:v>
      </x:c>
      <x:c r="C69" s="26" t="str">
        <x:v>SET Factsheet</x:v>
      </x:c>
      <x:c r="D69" s="26" t="str">
        <x:v>https://www.set.or.th/en/market/product/stock/quote/GPSC/factsheet</x:v>
      </x:c>
      <x:c r="E69" s="26" t="str">
        <x:v>Price / Market Cap / Valuation</x:v>
      </x:c>
      <x:c r="F69" s="26" t="str">
        <x:v>2026-10-08</x:v>
      </x:c>
      <x:c r="G69" s="26" t="str">
        <x:v>2026-10-09</x:v>
      </x:c>
    </x:row>
    <x:row r="70">
      <x:c r="A70" s="26" t="str">
        <x:v>GPSC</x:v>
      </x:c>
      <x:c r="B70" s="26" t="str">
        <x:v>SETTRADE</x:v>
      </x:c>
      <x:c r="C70" s="26" t="str">
        <x:v>Q2/1H26 F45</x:v>
      </x:c>
      <x:c r="D70" s="26" t="str">
        <x:v>https://www.settrade.com/th/news-and-articles/news/105655800?symbol=GPSC</x:v>
      </x:c>
      <x:c r="E70" s="26" t="str">
        <x:v>Q2 / 1H26 profit</x:v>
      </x:c>
      <x:c r="F70" s="26" t="str">
        <x:v>1H2026</x:v>
      </x:c>
      <x:c r="G70" s="26" t="str">
        <x:v>2026-10-09</x:v>
      </x:c>
    </x:row>
    <x:row r="71">
      <x:c r="A71" s="26" t="str">
        <x:v>GPSC</x:v>
      </x:c>
      <x:c r="B71" s="26" t="str">
        <x:v>Company IR</x:v>
      </x:c>
      <x:c r="C71" s="26" t="str">
        <x:v>Q2/2026 IR</x:v>
      </x:c>
      <x:c r="D71" s="26" t="str">
        <x:v>https://www.gpscgroup.com/en/investor-relations/home</x:v>
      </x:c>
      <x:c r="E71" s="26" t="str">
        <x:v>Revenue / assets / liabilities / strategy</x:v>
      </x:c>
      <x:c r="F71" s="26" t="str">
        <x:v>Q2/2026</x:v>
      </x:c>
      <x:c r="G71" s="26" t="str">
        <x:v>2026-10-09</x:v>
      </x:c>
    </x:row>
    <x:row r="72">
      <x:c r="A72" s="26" t="str">
        <x:v>CPAXT</x:v>
      </x:c>
      <x:c r="B72" s="26" t="str">
        <x:v>SET</x:v>
      </x:c>
      <x:c r="C72" s="26" t="str">
        <x:v>SET Factsheet</x:v>
      </x:c>
      <x:c r="D72" s="26" t="str">
        <x:v>https://www.set.or.th/en/market/product/stock/quote/CPAXT/factsheet</x:v>
      </x:c>
      <x:c r="E72" s="26" t="str">
        <x:v>Price / Market Cap / Valuation / Business</x:v>
      </x:c>
      <x:c r="F72" s="26" t="str">
        <x:v>2026-10-09</x:v>
      </x:c>
      <x:c r="G72" s="26" t="str">
        <x:v>2026-10-12</x:v>
      </x:c>
    </x:row>
    <x:row r="73">
      <x:c r="A73" s="26" t="str">
        <x:v>CPAXT</x:v>
      </x:c>
      <x:c r="B73" s="26" t="str">
        <x:v>SET</x:v>
      </x:c>
      <x:c r="C73" s="26" t="str">
        <x:v>Q2/1H26 F45</x:v>
      </x:c>
      <x:c r="D73" s="26" t="str">
        <x:v>https://www.set.or.th/th/market/news-and-alert/newsdetails?id=105743901&amp;symbol=CPAXT</x:v>
      </x:c>
      <x:c r="E73" s="26" t="str">
        <x:v>Q2 / 1H26 attributable profit</x:v>
      </x:c>
      <x:c r="F73" s="26" t="str">
        <x:v>1H2026</x:v>
      </x:c>
      <x:c r="G73" s="26" t="str">
        <x:v>2026-10-12</x:v>
      </x:c>
    </x:row>
    <x:row r="74">
      <x:c r="A74" s="26" t="str">
        <x:v>CPAXT</x:v>
      </x:c>
      <x:c r="B74" s="26" t="str">
        <x:v>SET</x:v>
      </x:c>
      <x:c r="C74" s="26" t="str">
        <x:v>Financial Statements Analysis</x:v>
      </x:c>
      <x:c r="D74" s="26" t="str">
        <x:v>https://www.set.or.th/en/market/product/stock/quote/CPAXT/financial-statement/financial-statements-analysis</x:v>
      </x:c>
      <x:c r="E74" s="26" t="str">
        <x:v>Revenue / cash flow / debt</x:v>
      </x:c>
      <x:c r="F74" s="26" t="str">
        <x:v>6M2026</x:v>
      </x:c>
      <x:c r="G74" s="26" t="str">
        <x:v>2026-10-12</x:v>
      </x:c>
    </x:row>
    <x:row r="75">
      <x:c r="A75" s="26" t="str">
        <x:v>MINT</x:v>
      </x:c>
      <x:c r="B75" s="26" t="str">
        <x:v>SET</x:v>
      </x:c>
      <x:c r="C75" s="26" t="str">
        <x:v>SET Factsheet</x:v>
      </x:c>
      <x:c r="D75" s="26" t="str">
        <x:v>https://www.set.or.th/en/market/product/stock/quote/MINT/factsheet</x:v>
      </x:c>
      <x:c r="E75" s="26" t="str">
        <x:v>Price / Market Cap / Valuation</x:v>
      </x:c>
      <x:c r="F75" s="26" t="str">
        <x:v>2026-10-09</x:v>
      </x:c>
      <x:c r="G75" s="26" t="str">
        <x:v>2026-10-12</x:v>
      </x:c>
    </x:row>
    <x:row r="76">
      <x:c r="A76" s="26" t="str">
        <x:v>MINT</x:v>
      </x:c>
      <x:c r="B76" s="26" t="str">
        <x:v>SET</x:v>
      </x:c>
      <x:c r="C76" s="26" t="str">
        <x:v>Q2/1H26 F45</x:v>
      </x:c>
      <x:c r="D76" s="26" t="str">
        <x:v>https://www.set.or.th/en/market/news-and-alert/newsdetails?id=105707100&amp;symbol=MINT</x:v>
      </x:c>
      <x:c r="E76" s="26" t="str">
        <x:v>Q2 / 1H26 profit</x:v>
      </x:c>
      <x:c r="F76" s="26" t="str">
        <x:v>1H2026</x:v>
      </x:c>
      <x:c r="G76" s="26" t="str">
        <x:v>2026-10-12</x:v>
      </x:c>
    </x:row>
    <x:row r="77">
      <x:c r="A77" s="26" t="str">
        <x:v>MINT</x:v>
      </x:c>
      <x:c r="B77" s="26" t="str">
        <x:v>SET</x:v>
      </x:c>
      <x:c r="C77" s="26" t="str">
        <x:v>Company Highlights</x:v>
      </x:c>
      <x:c r="D77" s="26" t="str">
        <x:v>https://www.set.or.th/en/market/product/stock/quote/MINT/financial-statement/company-highlights</x:v>
      </x:c>
      <x:c r="E77" s="26" t="str">
        <x:v>Revenue / EBITDA</x:v>
      </x:c>
      <x:c r="F77" s="26" t="str">
        <x:v>6M2026</x:v>
      </x:c>
      <x:c r="G77" s="26" t="str">
        <x:v>2026-10-12</x:v>
      </x:c>
    </x:row>
    <x:row r="78">
      <x:c r="A78" s="26" t="str">
        <x:v>TISCO</x:v>
      </x:c>
      <x:c r="B78" s="26" t="str">
        <x:v>SET</x:v>
      </x:c>
      <x:c r="C78" s="26" t="str">
        <x:v>SET Factsheet</x:v>
      </x:c>
      <x:c r="D78" s="26" t="str">
        <x:v>https://www.set.or.th/en/market/product/stock/quote/TISCO/factsheet</x:v>
      </x:c>
      <x:c r="E78" s="26" t="str">
        <x:v>Price / Market Cap / Valuation</x:v>
      </x:c>
      <x:c r="F78" s="26" t="str">
        <x:v>2026-10-09</x:v>
      </x:c>
      <x:c r="G78" s="26" t="str">
        <x:v>2026-10-12</x:v>
      </x:c>
    </x:row>
    <x:row r="79">
      <x:c r="A79" s="26" t="str">
        <x:v>TISCO</x:v>
      </x:c>
      <x:c r="B79" s="26" t="str">
        <x:v>SET</x:v>
      </x:c>
      <x:c r="C79" s="26" t="str">
        <x:v>Q2/1H26 F45</x:v>
      </x:c>
      <x:c r="D79" s="26" t="str">
        <x:v>https://www.set.or.th/en/market/news-and-alert/newsdetails?id=105408900&amp;symbol=TISCO</x:v>
      </x:c>
      <x:c r="E79" s="26" t="str">
        <x:v>Q2 / 1H26 profit</x:v>
      </x:c>
      <x:c r="F79" s="26" t="str">
        <x:v>1H2026</x:v>
      </x:c>
      <x:c r="G79" s="26" t="str">
        <x:v>2026-10-12</x:v>
      </x:c>
    </x:row>
    <x:row r="80">
      <x:c r="A80" s="26" t="str">
        <x:v>TISCO</x:v>
      </x:c>
      <x:c r="B80" s="26" t="str">
        <x:v>Company</x:v>
      </x:c>
      <x:c r="C80" s="26" t="str">
        <x:v>1H26 Results</x:v>
      </x:c>
      <x:c r="D80" s="26" t="str">
        <x:v>https://www.tisco.co.th/th/news/20260714-20260416-tisco-announces-q2-2026</x:v>
      </x:c>
      <x:c r="E80" s="26" t="str">
        <x:v>NPL / coverage / trends</x:v>
      </x:c>
      <x:c r="F80" s="26" t="str">
        <x:v>1H2026</x:v>
      </x:c>
      <x:c r="G80" s="26" t="str">
        <x:v>2026-10-12</x:v>
      </x:c>
    </x:row>
    <x:row r="81">
      <x:c r="A81" s="26" t="str">
        <x:v>AWC</x:v>
      </x:c>
      <x:c r="B81" s="26" t="str">
        <x:v>SET</x:v>
      </x:c>
      <x:c r="C81" s="26" t="str">
        <x:v>SET Factsheet</x:v>
      </x:c>
      <x:c r="D81" s="26" t="str">
        <x:v>https://www.set.or.th/en/market/product/stock/quote/AWC/factsheet</x:v>
      </x:c>
      <x:c r="E81" s="26" t="str">
        <x:v>Valuation / business / shareholders</x:v>
      </x:c>
      <x:c r="F81" s="26" t="str">
        <x:v>2026-09-30 to 2026-10-09</x:v>
      </x:c>
      <x:c r="G81" s="26" t="str">
        <x:v>2026-10-12</x:v>
      </x:c>
    </x:row>
    <x:row r="82">
      <x:c r="A82" s="26" t="str">
        <x:v>AWC</x:v>
      </x:c>
      <x:c r="B82" s="26" t="str">
        <x:v>SET</x:v>
      </x:c>
      <x:c r="C82" s="26" t="str">
        <x:v>Q2/1H26 F45</x:v>
      </x:c>
      <x:c r="D82" s="26" t="str">
        <x:v>https://www.set.or.th/en/market/news-and-alert/newsdetails?id=106186900&amp;symbol=AWC</x:v>
      </x:c>
      <x:c r="E82" s="26" t="str">
        <x:v>Q2 / 1H26 profit</x:v>
      </x:c>
      <x:c r="F82" s="26" t="str">
        <x:v>1H2026</x:v>
      </x:c>
      <x:c r="G82" s="26" t="str">
        <x:v>2026-10-12</x:v>
      </x:c>
    </x:row>
    <x:row r="83">
      <x:c r="A83" s="26" t="str">
        <x:v>AWC</x:v>
      </x:c>
      <x:c r="B83" s="26" t="str">
        <x:v>SET</x:v>
      </x:c>
      <x:c r="C83" s="26" t="str">
        <x:v>Q2 MD&amp;A</x:v>
      </x:c>
      <x:c r="D83" s="26" t="str">
        <x:v>https://www.set.or.th/en/market/news-and-alert/newsdetails?id=106187000&amp;symbol=AWC</x:v>
      </x:c>
      <x:c r="E83" s="26" t="str">
        <x:v>Operating / development context</x:v>
      </x:c>
      <x:c r="F83" s="26" t="str">
        <x:v>Q2/2026</x:v>
      </x:c>
      <x:c r="G83" s="26" t="str">
        <x:v>2026-10-12</x:v>
      </x:c>
    </x:row>
    <x:row r="84">
      <x:c r="A84" s="26" t="str">
        <x:v>BEM</x:v>
      </x:c>
      <x:c r="B84" s="26" t="str">
        <x:v>SET</x:v>
      </x:c>
      <x:c r="C84" s="26" t="str">
        <x:v>SET Factsheet</x:v>
      </x:c>
      <x:c r="D84" s="26" t="str">
        <x:v>https://www.set.or.th/en/market/product/stock/quote/BEM/factsheet</x:v>
      </x:c>
      <x:c r="E84" s="26" t="str">
        <x:v>Price / Market Cap / Valuation</x:v>
      </x:c>
      <x:c r="F84" s="26" t="str">
        <x:v>2026-10-09</x:v>
      </x:c>
      <x:c r="G84" s="26" t="str">
        <x:v>2026-10-12</x:v>
      </x:c>
    </x:row>
    <x:row r="85">
      <x:c r="A85" s="26" t="str">
        <x:v>BEM</x:v>
      </x:c>
      <x:c r="B85" s="26" t="str">
        <x:v>SET</x:v>
      </x:c>
      <x:c r="C85" s="26" t="str">
        <x:v>Q2/1H26 F45</x:v>
      </x:c>
      <x:c r="D85" s="26" t="str">
        <x:v>https://www.set.or.th/en/market/news-and-alert/newsdetails?id=106053900&amp;symbol=BEM</x:v>
      </x:c>
      <x:c r="E85" s="26" t="str">
        <x:v>Q2 / 1H26 profit</x:v>
      </x:c>
      <x:c r="F85" s="26" t="str">
        <x:v>1H2026</x:v>
      </x:c>
      <x:c r="G85" s="26" t="str">
        <x:v>2026-10-12</x:v>
      </x:c>
    </x:row>
    <x:row r="86">
      <x:c r="A86" s="26" t="str">
        <x:v>BEM</x:v>
      </x:c>
      <x:c r="B86" s="26" t="str">
        <x:v>SET</x:v>
      </x:c>
      <x:c r="C86" s="26" t="str">
        <x:v>Financial Statements Analysis</x:v>
      </x:c>
      <x:c r="D86" s="26" t="str">
        <x:v>https://www.set.or.th/en/market/product/stock/quote/BEM/financial-statement/financial-statements-analysis</x:v>
      </x:c>
      <x:c r="E86" s="26" t="str">
        <x:v>Revenue / EBITDA / leverage context</x:v>
      </x:c>
      <x:c r="F86" s="26" t="str">
        <x:v>6M2026</x:v>
      </x:c>
      <x:c r="G86" s="26" t="str">
        <x:v>2026-10-12</x:v>
      </x:c>
    </x:row>
    <x:row r="87">
      <x:c r="A87" s="26" t="str">
        <x:v>SCGP</x:v>
      </x:c>
      <x:c r="B87" s="26" t="str">
        <x:v>SET</x:v>
      </x:c>
      <x:c r="C87" s="26" t="str">
        <x:v>SET Factsheet</x:v>
      </x:c>
      <x:c r="D87" s="26" t="str">
        <x:v>https://www.set.or.th/en/market/product/stock/quote/SCGP/factsheet</x:v>
      </x:c>
      <x:c r="E87" s="26" t="str">
        <x:v>Price / Market Cap / Valuation / Business</x:v>
      </x:c>
      <x:c r="F87" s="26" t="str">
        <x:v>2026-10-09</x:v>
      </x:c>
      <x:c r="G87" s="26" t="str">
        <x:v>2026-10-12</x:v>
      </x:c>
    </x:row>
    <x:row r="88">
      <x:c r="A88" s="26" t="str">
        <x:v>SCGP</x:v>
      </x:c>
      <x:c r="B88" s="26" t="str">
        <x:v>SET</x:v>
      </x:c>
      <x:c r="C88" s="26" t="str">
        <x:v>Q2/1H26 F45</x:v>
      </x:c>
      <x:c r="D88" s="26" t="str">
        <x:v>https://www.set.or.th/en/market/news-and-alert/newsdetails?id=105624000&amp;symbol=SCGP</x:v>
      </x:c>
      <x:c r="E88" s="26" t="str">
        <x:v>Q2 / 1H26 profit</x:v>
      </x:c>
      <x:c r="F88" s="26" t="str">
        <x:v>1H2026</x:v>
      </x:c>
      <x:c r="G88" s="26" t="str">
        <x:v>2026-10-12</x:v>
      </x:c>
    </x:row>
    <x:row r="89">
      <x:c r="A89" s="26" t="str">
        <x:v>SCGP</x:v>
      </x:c>
      <x:c r="B89" s="26" t="str">
        <x:v>Company</x:v>
      </x:c>
      <x:c r="C89" s="26" t="str">
        <x:v>Q2/2026 Newsroom</x:v>
      </x:c>
      <x:c r="D89" s="26" t="str">
        <x:v>https://newsroom.scgpackaging.com/en/news/scgp-announces-q2-profit/</x:v>
      </x:c>
      <x:c r="E89" s="26" t="str">
        <x:v>Revenue / Indonesia / Vietnam / dividend</x:v>
      </x:c>
      <x:c r="F89" s="26" t="str">
        <x:v>Q2/2026</x:v>
      </x:c>
      <x:c r="G89" s="26" t="str">
        <x:v>2026-10-12</x:v>
      </x:c>
    </x:row>
    <x:row r="90">
      <x:c r="A90" s="26" t="str">
        <x:v>KCE</x:v>
      </x:c>
      <x:c r="B90" s="26" t="str">
        <x:v>SET</x:v>
      </x:c>
      <x:c r="C90" s="26" t="str">
        <x:v>SET Factsheet</x:v>
      </x:c>
      <x:c r="D90" s="26" t="str">
        <x:v>https://www.set.or.th/en/market/product/stock/quote/KCE/factsheet</x:v>
      </x:c>
      <x:c r="E90" s="26" t="str">
        <x:v>Price / Market Cap / Valuation / Business</x:v>
      </x:c>
      <x:c r="F90" s="26" t="str">
        <x:v>2026-10-09</x:v>
      </x:c>
      <x:c r="G90" s="26" t="str">
        <x:v>2026-10-12</x:v>
      </x:c>
    </x:row>
    <x:row r="91">
      <x:c r="A91" s="26" t="str">
        <x:v>KCE</x:v>
      </x:c>
      <x:c r="B91" s="26" t="str">
        <x:v>SET</x:v>
      </x:c>
      <x:c r="C91" s="26" t="str">
        <x:v>Q2/1H26 F45</x:v>
      </x:c>
      <x:c r="D91" s="26" t="str">
        <x:v>https://www.set.or.th/en/market/news-and-alert/newsdetails?id=105907100&amp;symbol=KCE</x:v>
      </x:c>
      <x:c r="E91" s="26" t="str">
        <x:v>Q2 / 1H26 profit</x:v>
      </x:c>
      <x:c r="F91" s="26" t="str">
        <x:v>1H2026</x:v>
      </x:c>
      <x:c r="G91" s="26" t="str">
        <x:v>2026-10-12</x:v>
      </x:c>
    </x:row>
    <x:row r="92">
      <x:c r="A92" s="26" t="str">
        <x:v>KCE</x:v>
      </x:c>
      <x:c r="B92" s="26" t="str">
        <x:v>Company</x:v>
      </x:c>
      <x:c r="C92" s="26" t="str">
        <x:v>Company Website</x:v>
      </x:c>
      <x:c r="D92" s="26" t="str">
        <x:v>http://www.kcethai.in.th</x:v>
      </x:c>
      <x:c r="E92" s="26" t="str">
        <x:v>Business / operating context</x:v>
      </x:c>
      <x:c r="F92" s="26" t="str">
        <x:v>2026</x:v>
      </x:c>
      <x:c r="G92" s="26" t="str">
        <x:v>2026-10-12</x:v>
      </x:c>
    </x:row>
    <x:row r="93">
      <x:c r="A93" s="26" t="str">
        <x:v>KTC</x:v>
      </x:c>
      <x:c r="B93" s="26" t="str">
        <x:v>SET</x:v>
      </x:c>
      <x:c r="C93" s="26" t="str">
        <x:v>SET Factsheet</x:v>
      </x:c>
      <x:c r="D93" s="26" t="str">
        <x:v>https://www.set.or.th/en/market/product/stock/quote/KTC/factsheet</x:v>
      </x:c>
      <x:c r="E93" s="26" t="str">
        <x:v>Price / Market Cap / Valuation / Business</x:v>
      </x:c>
      <x:c r="F93" s="26" t="str">
        <x:v>2026-10-09</x:v>
      </x:c>
      <x:c r="G93" s="26" t="str">
        <x:v>2026-10-12</x:v>
      </x:c>
    </x:row>
    <x:row r="94">
      <x:c r="A94" s="26" t="str">
        <x:v>KTC</x:v>
      </x:c>
      <x:c r="B94" s="26" t="str">
        <x:v>SET</x:v>
      </x:c>
      <x:c r="C94" s="26" t="str">
        <x:v>Q2/1H26 F45</x:v>
      </x:c>
      <x:c r="D94" s="26" t="str">
        <x:v>https://www.set.or.th/en/market/news-and-alert/newsdetails?id=105460300&amp;symbol=KTC</x:v>
      </x:c>
      <x:c r="E94" s="26" t="str">
        <x:v>Q2 / 1H26 profit</x:v>
      </x:c>
      <x:c r="F94" s="26" t="str">
        <x:v>1H2026</x:v>
      </x:c>
      <x:c r="G94" s="26" t="str">
        <x:v>2026-10-12</x:v>
      </x:c>
    </x:row>
    <x:row r="95">
      <x:c r="A95" s="26" t="str">
        <x:v>KTC</x:v>
      </x:c>
      <x:c r="B95" s="26" t="str">
        <x:v>Company</x:v>
      </x:c>
      <x:c r="C95" s="26" t="str">
        <x:v>Q2/2026 Performance</x:v>
      </x:c>
      <x:c r="D95" s="26" t="str">
        <x:v>https://www.ktc.co.th/en/news/corporate/ktc-performance-q2-2026</x:v>
      </x:c>
      <x:c r="E95" s="26" t="str">
        <x:v>NPL / coverage / portfolio / spending</x:v>
      </x:c>
      <x:c r="F95" s="26" t="str">
        <x:v>Q2/2026</x:v>
      </x:c>
      <x:c r="G95" s="26" t="str">
        <x:v>2026-10-12</x:v>
      </x:c>
    </x:row>
    <x:row r="96">
      <x:c r="A96" s="26" t="str">
        <x:v>HMPRO</x:v>
      </x:c>
      <x:c r="B96" s="26" t="str">
        <x:v>SET</x:v>
      </x:c>
      <x:c r="C96" s="26" t="str">
        <x:v>SET Factsheet</x:v>
      </x:c>
      <x:c r="D96" s="26" t="str">
        <x:v>https://www.set.or.th/en/market/product/stock/quote/HMPRO/factsheet</x:v>
      </x:c>
      <x:c r="E96" s="26" t="str">
        <x:v>Price / Market Cap / Valuation / Business</x:v>
      </x:c>
      <x:c r="F96" s="26" t="str">
        <x:v>2026-10-09</x:v>
      </x:c>
      <x:c r="G96" s="26" t="str">
        <x:v>2026-10-12</x:v>
      </x:c>
    </x:row>
    <x:row r="97">
      <x:c r="A97" s="26" t="str">
        <x:v>HMPRO</x:v>
      </x:c>
      <x:c r="B97" s="26" t="str">
        <x:v>SET</x:v>
      </x:c>
      <x:c r="C97" s="26" t="str">
        <x:v>Q2/1H26 F45</x:v>
      </x:c>
      <x:c r="D97" s="26" t="str">
        <x:v>https://www.set.or.th/en/market/news-and-alert/newsdetails?id=105535400&amp;symbol=HMPRO</x:v>
      </x:c>
      <x:c r="E97" s="26" t="str">
        <x:v>Q2 / 1H26 profit</x:v>
      </x:c>
      <x:c r="F97" s="26" t="str">
        <x:v>1H2026</x:v>
      </x:c>
      <x:c r="G97" s="26" t="str">
        <x:v>2026-10-12</x:v>
      </x:c>
    </x:row>
    <x:row r="98">
      <x:c r="A98" s="26" t="str">
        <x:v>HMPRO</x:v>
      </x:c>
      <x:c r="B98" s="26" t="str">
        <x:v>Company IR</x:v>
      </x:c>
      <x:c r="C98" s="26" t="str">
        <x:v>Investor Relations</x:v>
      </x:c>
      <x:c r="D98" s="26" t="str">
        <x:v>https://hmpro.listedcompany.com/</x:v>
      </x:c>
      <x:c r="E98" s="26" t="str">
        <x:v>Strategy / earnings materials</x:v>
      </x:c>
      <x:c r="F98" s="26" t="str">
        <x:v>2026</x:v>
      </x:c>
      <x:c r="G98" s="26" t="str">
        <x:v>2026-10-12</x:v>
      </x:c>
    </x:row>
    <x:row r="99">
      <x:c r="A99" s="26" t="str">
        <x:v>RATCH</x:v>
      </x:c>
      <x:c r="B99" s="26" t="str">
        <x:v>SET</x:v>
      </x:c>
      <x:c r="C99" s="26" t="str">
        <x:v>SET Factsheet</x:v>
      </x:c>
      <x:c r="D99" s="26" t="str">
        <x:v>https://www.set.or.th/en/market/product/stock/quote/RATCH/factsheet</x:v>
      </x:c>
      <x:c r="E99" s="26" t="str">
        <x:v>Price / Market Cap / Valuation / Business</x:v>
      </x:c>
      <x:c r="F99" s="26" t="str">
        <x:v>2026-10-09</x:v>
      </x:c>
      <x:c r="G99" s="26" t="str">
        <x:v>2026-10-12</x:v>
      </x:c>
    </x:row>
    <x:row r="100">
      <x:c r="A100" s="26" t="str">
        <x:v>RATCH</x:v>
      </x:c>
      <x:c r="B100" s="26" t="str">
        <x:v>SET Snapshot</x:v>
      </x:c>
      <x:c r="C100" s="26" t="str">
        <x:v>6M26 Snapshot</x:v>
      </x:c>
      <x:c r="D100" s="26" t="str">
        <x:v>https://lssmedia.setlink.set.or.th/2026/6M/RATCH-6M69-ListedCompanySnapshot-TH.html</x:v>
      </x:c>
      <x:c r="E100" s="26" t="str">
        <x:v>1H26 revenue / NPAT / balance sheet</x:v>
      </x:c>
      <x:c r="F100" s="26" t="str">
        <x:v>1H2026</x:v>
      </x:c>
      <x:c r="G100" s="26" t="str">
        <x:v>2026-10-12</x:v>
      </x:c>
    </x:row>
    <x:row r="101">
      <x:c r="A101" s="26" t="str">
        <x:v>RATCH</x:v>
      </x:c>
      <x:c r="B101" s="26" t="str">
        <x:v>Company IR</x:v>
      </x:c>
      <x:c r="C101" s="26" t="str">
        <x:v>Investor Relations</x:v>
      </x:c>
      <x:c r="D101" s="26" t="str">
        <x:v>https://www.ratch.co.th/en/investor-relations/home</x:v>
      </x:c>
      <x:c r="E101" s="26" t="str">
        <x:v>Q2 FS / MD&amp;A / strategy</x:v>
      </x:c>
      <x:c r="F101" s="26" t="str">
        <x:v>Q2/2026</x:v>
      </x:c>
      <x:c r="G101" s="26" t="str">
        <x:v>2026-10-12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6c7d1b4d7e54d2b"/>
  </x:tableParts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8" hidden="0" customWidth="1"/>
    <x:col min="3" max="3" width="44" hidden="0" customWidth="1"/>
    <x:col min="4" max="4" width="16" hidden="0" customWidth="1"/>
    <x:col min="5" max="5" width="15" hidden="0" customWidth="1"/>
    <x:col min="6" max="6" width="14" hidden="0" customWidth="1"/>
    <x:col min="7" max="7" width="28" hidden="0" customWidth="1"/>
    <x:col min="8" max="8" width="14" hidden="0" customWidth="1"/>
    <x:col min="9" max="9" width="32" hidden="0" customWidth="1"/>
    <x:col min="10" max="10" width="42" hidden="0" customWidth="1"/>
  </x:cols>
  <x:sheetData>
    <x:row r="1" ht="30" customHeight="1">
      <x:c r="A1" s="5" t="str">
        <x:v>Research Log — 20 Batches</x:v>
      </x:c>
    </x:row>
    <x:row r="3" ht="30" customHeight="1">
      <x:c r="A3" s="14" t="str">
        <x:v>Batch</x:v>
      </x:c>
      <x:c r="B3" s="14" t="str">
        <x:v>MCap Rank Range</x:v>
      </x:c>
      <x:c r="C3" s="14" t="str">
        <x:v>Tickers</x:v>
      </x:c>
      <x:c r="D3" s="14" t="str">
        <x:v>Status</x:v>
      </x:c>
      <x:c r="E3" s="14" t="str">
        <x:v>Research Date</x:v>
      </x:c>
      <x:c r="F3" s="14" t="str">
        <x:v>Market Date</x:v>
      </x:c>
      <x:c r="G3" s="14" t="str">
        <x:v>Financial Cut</x:v>
      </x:c>
      <x:c r="H3" s="14" t="str">
        <x:v>QA Status</x:v>
      </x:c>
      <x:c r="I3" s="14" t="str">
        <x:v>Next Action</x:v>
      </x:c>
      <x:c r="J3" s="14" t="str">
        <x:v>Notes</x:v>
      </x:c>
    </x:row>
    <x:row r="4">
      <x:c r="A4" s="26" t="n">
        <x:v>1</x:v>
      </x:c>
      <x:c r="B4" s="26" t="str">
        <x:v>1–5</x:v>
      </x:c>
      <x:c r="C4" s="26" t="str">
        <x:v>DELTA / PTT / ADVANC / GULF / AOT</x:v>
      </x:c>
      <x:c r="D4" s="26" t="str">
        <x:v>Completed</x:v>
      </x:c>
      <x:c r="E4" s="26" t="str">
        <x:v>2026-10-08</x:v>
      </x:c>
      <x:c r="F4" s="26" t="str">
        <x:v>2026-10-07</x:v>
      </x:c>
      <x:c r="G4" s="26" t="str">
        <x:v>Q2/2026; AOT 9M FY2026</x:v>
      </x:c>
      <x:c r="H4" s="26" t="str">
        <x:v>Reviewed</x:v>
      </x:c>
      <x:c r="I4" s="26" t="str">
        <x:v>Proceed to Batch 2</x:v>
      </x:c>
      <x:c r="J4" s="26" t="str">
        <x:v>Order = Market Cap 100%</x:v>
      </x:c>
    </x:row>
    <x:row r="5">
      <x:c r="A5" s="26" t="n">
        <x:v>2</x:v>
      </x:c>
      <x:c r="B5" s="26" t="str">
        <x:v>6–10</x:v>
      </x:c>
      <x:c r="C5" s="26" t="str"/>
      <x:c r="D5" s="26" t="str">
        <x:v>Pending</x:v>
      </x:c>
      <x:c r="E5" s="26" t="str"/>
      <x:c r="F5" s="26" t="str"/>
      <x:c r="G5" s="26" t="str"/>
      <x:c r="H5" s="26" t="str">
        <x:v>Pending</x:v>
      </x:c>
      <x:c r="I5" s="26" t="str">
        <x:v>Analyze next 5 by Market Cap</x:v>
      </x:c>
      <x:c r="J5" s="26" t="str"/>
    </x:row>
    <x:row r="6">
      <x:c r="A6" s="26" t="n">
        <x:v>3</x:v>
      </x:c>
      <x:c r="B6" s="26" t="str">
        <x:v>11–15</x:v>
      </x:c>
      <x:c r="C6" s="26" t="str"/>
      <x:c r="D6" s="26" t="str">
        <x:v>Pending</x:v>
      </x:c>
      <x:c r="E6" s="26" t="str"/>
      <x:c r="F6" s="26" t="str"/>
      <x:c r="G6" s="26" t="str"/>
      <x:c r="H6" s="26" t="str">
        <x:v>Pending</x:v>
      </x:c>
      <x:c r="I6" s="26" t="str">
        <x:v>Analyze next 5 by Market Cap</x:v>
      </x:c>
      <x:c r="J6" s="26" t="str"/>
    </x:row>
    <x:row r="7">
      <x:c r="A7" s="26" t="n">
        <x:v>4</x:v>
      </x:c>
      <x:c r="B7" s="26" t="str">
        <x:v>16–20</x:v>
      </x:c>
      <x:c r="C7" s="26" t="str"/>
      <x:c r="D7" s="26" t="str">
        <x:v>Pending</x:v>
      </x:c>
      <x:c r="E7" s="26" t="str"/>
      <x:c r="F7" s="26" t="str"/>
      <x:c r="G7" s="26" t="str"/>
      <x:c r="H7" s="26" t="str">
        <x:v>Pending</x:v>
      </x:c>
      <x:c r="I7" s="26" t="str">
        <x:v>Analyze next 5 by Market Cap</x:v>
      </x:c>
      <x:c r="J7" s="26" t="str"/>
    </x:row>
    <x:row r="8">
      <x:c r="A8" s="26" t="n">
        <x:v>5</x:v>
      </x:c>
      <x:c r="B8" s="26" t="str">
        <x:v>21–25</x:v>
      </x:c>
      <x:c r="C8" s="26" t="str"/>
      <x:c r="D8" s="26" t="str">
        <x:v>Pending</x:v>
      </x:c>
      <x:c r="E8" s="26" t="str"/>
      <x:c r="F8" s="26" t="str"/>
      <x:c r="G8" s="26" t="str"/>
      <x:c r="H8" s="26" t="str">
        <x:v>Pending</x:v>
      </x:c>
      <x:c r="I8" s="26" t="str">
        <x:v>Analyze next 5 by Market Cap</x:v>
      </x:c>
      <x:c r="J8" s="26" t="str"/>
    </x:row>
    <x:row r="9">
      <x:c r="A9" s="26" t="n">
        <x:v>6</x:v>
      </x:c>
      <x:c r="B9" s="26" t="str">
        <x:v>26–30</x:v>
      </x:c>
      <x:c r="C9" s="26" t="str"/>
      <x:c r="D9" s="26" t="str">
        <x:v>Pending</x:v>
      </x:c>
      <x:c r="E9" s="26" t="str"/>
      <x:c r="F9" s="26" t="str"/>
      <x:c r="G9" s="26" t="str"/>
      <x:c r="H9" s="26" t="str">
        <x:v>Pending</x:v>
      </x:c>
      <x:c r="I9" s="26" t="str">
        <x:v>Analyze next 5 by Market Cap</x:v>
      </x:c>
      <x:c r="J9" s="26" t="str"/>
    </x:row>
    <x:row r="10">
      <x:c r="A10" s="26" t="n">
        <x:v>7</x:v>
      </x:c>
      <x:c r="B10" s="26" t="str">
        <x:v>31–35</x:v>
      </x:c>
      <x:c r="C10" s="26" t="str"/>
      <x:c r="D10" s="26" t="str">
        <x:v>Pending</x:v>
      </x:c>
      <x:c r="E10" s="26" t="str"/>
      <x:c r="F10" s="26" t="str"/>
      <x:c r="G10" s="26" t="str"/>
      <x:c r="H10" s="26" t="str">
        <x:v>Pending</x:v>
      </x:c>
      <x:c r="I10" s="26" t="str">
        <x:v>Analyze next 5 by Market Cap</x:v>
      </x:c>
      <x:c r="J10" s="26" t="str"/>
    </x:row>
    <x:row r="11">
      <x:c r="A11" s="26" t="n">
        <x:v>8</x:v>
      </x:c>
      <x:c r="B11" s="26" t="str">
        <x:v>36–40</x:v>
      </x:c>
      <x:c r="C11" s="26" t="str"/>
      <x:c r="D11" s="26" t="str">
        <x:v>Pending</x:v>
      </x:c>
      <x:c r="E11" s="26" t="str"/>
      <x:c r="F11" s="26" t="str"/>
      <x:c r="G11" s="26" t="str"/>
      <x:c r="H11" s="26" t="str">
        <x:v>Pending</x:v>
      </x:c>
      <x:c r="I11" s="26" t="str">
        <x:v>Analyze next 5 by Market Cap</x:v>
      </x:c>
      <x:c r="J11" s="26" t="str"/>
    </x:row>
    <x:row r="12">
      <x:c r="A12" s="26" t="n">
        <x:v>9</x:v>
      </x:c>
      <x:c r="B12" s="26" t="str">
        <x:v>41–45</x:v>
      </x:c>
      <x:c r="C12" s="26" t="str"/>
      <x:c r="D12" s="26" t="str">
        <x:v>Pending</x:v>
      </x:c>
      <x:c r="E12" s="26" t="str"/>
      <x:c r="F12" s="26" t="str"/>
      <x:c r="G12" s="26" t="str"/>
      <x:c r="H12" s="26" t="str">
        <x:v>Pending</x:v>
      </x:c>
      <x:c r="I12" s="26" t="str">
        <x:v>Analyze next 5 by Market Cap</x:v>
      </x:c>
      <x:c r="J12" s="26" t="str"/>
    </x:row>
    <x:row r="13">
      <x:c r="A13" s="26" t="n">
        <x:v>10</x:v>
      </x:c>
      <x:c r="B13" s="26" t="str">
        <x:v>46–50</x:v>
      </x:c>
      <x:c r="C13" s="26" t="str"/>
      <x:c r="D13" s="26" t="str">
        <x:v>Pending</x:v>
      </x:c>
      <x:c r="E13" s="26" t="str"/>
      <x:c r="F13" s="26" t="str"/>
      <x:c r="G13" s="26" t="str"/>
      <x:c r="H13" s="26" t="str">
        <x:v>Pending</x:v>
      </x:c>
      <x:c r="I13" s="26" t="str">
        <x:v>Analyze next 5 by Market Cap</x:v>
      </x:c>
      <x:c r="J13" s="26" t="str"/>
    </x:row>
    <x:row r="14">
      <x:c r="A14" s="26" t="n">
        <x:v>11</x:v>
      </x:c>
      <x:c r="B14" s="26" t="str">
        <x:v>51–55</x:v>
      </x:c>
      <x:c r="C14" s="26" t="str"/>
      <x:c r="D14" s="26" t="str">
        <x:v>Pending</x:v>
      </x:c>
      <x:c r="E14" s="26" t="str"/>
      <x:c r="F14" s="26" t="str"/>
      <x:c r="G14" s="26" t="str"/>
      <x:c r="H14" s="26" t="str">
        <x:v>Pending</x:v>
      </x:c>
      <x:c r="I14" s="26" t="str">
        <x:v>Analyze next 5 by Market Cap</x:v>
      </x:c>
      <x:c r="J14" s="26" t="str"/>
    </x:row>
    <x:row r="15">
      <x:c r="A15" s="26" t="n">
        <x:v>12</x:v>
      </x:c>
      <x:c r="B15" s="26" t="str">
        <x:v>56–60</x:v>
      </x:c>
      <x:c r="C15" s="26" t="str"/>
      <x:c r="D15" s="26" t="str">
        <x:v>Pending</x:v>
      </x:c>
      <x:c r="E15" s="26" t="str"/>
      <x:c r="F15" s="26" t="str"/>
      <x:c r="G15" s="26" t="str"/>
      <x:c r="H15" s="26" t="str">
        <x:v>Pending</x:v>
      </x:c>
      <x:c r="I15" s="26" t="str">
        <x:v>Analyze next 5 by Market Cap</x:v>
      </x:c>
      <x:c r="J15" s="26" t="str"/>
    </x:row>
    <x:row r="16">
      <x:c r="A16" s="26" t="n">
        <x:v>13</x:v>
      </x:c>
      <x:c r="B16" s="26" t="str">
        <x:v>61–65</x:v>
      </x:c>
      <x:c r="C16" s="26" t="str"/>
      <x:c r="D16" s="26" t="str">
        <x:v>Pending</x:v>
      </x:c>
      <x:c r="E16" s="26" t="str"/>
      <x:c r="F16" s="26" t="str"/>
      <x:c r="G16" s="26" t="str"/>
      <x:c r="H16" s="26" t="str">
        <x:v>Pending</x:v>
      </x:c>
      <x:c r="I16" s="26" t="str">
        <x:v>Analyze next 5 by Market Cap</x:v>
      </x:c>
      <x:c r="J16" s="26" t="str"/>
    </x:row>
    <x:row r="17">
      <x:c r="A17" s="26" t="n">
        <x:v>14</x:v>
      </x:c>
      <x:c r="B17" s="26" t="str">
        <x:v>66–70</x:v>
      </x:c>
      <x:c r="C17" s="26" t="str"/>
      <x:c r="D17" s="26" t="str">
        <x:v>Pending</x:v>
      </x:c>
      <x:c r="E17" s="26" t="str"/>
      <x:c r="F17" s="26" t="str"/>
      <x:c r="G17" s="26" t="str"/>
      <x:c r="H17" s="26" t="str">
        <x:v>Pending</x:v>
      </x:c>
      <x:c r="I17" s="26" t="str">
        <x:v>Analyze next 5 by Market Cap</x:v>
      </x:c>
      <x:c r="J17" s="26" t="str"/>
    </x:row>
    <x:row r="18">
      <x:c r="A18" s="26" t="n">
        <x:v>15</x:v>
      </x:c>
      <x:c r="B18" s="26" t="str">
        <x:v>71–75</x:v>
      </x:c>
      <x:c r="C18" s="26" t="str"/>
      <x:c r="D18" s="26" t="str">
        <x:v>Pending</x:v>
      </x:c>
      <x:c r="E18" s="26" t="str"/>
      <x:c r="F18" s="26" t="str"/>
      <x:c r="G18" s="26" t="str"/>
      <x:c r="H18" s="26" t="str">
        <x:v>Pending</x:v>
      </x:c>
      <x:c r="I18" s="26" t="str">
        <x:v>Analyze next 5 by Market Cap</x:v>
      </x:c>
      <x:c r="J18" s="26" t="str"/>
    </x:row>
    <x:row r="19">
      <x:c r="A19" s="26" t="n">
        <x:v>16</x:v>
      </x:c>
      <x:c r="B19" s="26" t="str">
        <x:v>76–80</x:v>
      </x:c>
      <x:c r="C19" s="26" t="str"/>
      <x:c r="D19" s="26" t="str">
        <x:v>Pending</x:v>
      </x:c>
      <x:c r="E19" s="26" t="str"/>
      <x:c r="F19" s="26" t="str"/>
      <x:c r="G19" s="26" t="str"/>
      <x:c r="H19" s="26" t="str">
        <x:v>Pending</x:v>
      </x:c>
      <x:c r="I19" s="26" t="str">
        <x:v>Analyze next 5 by Market Cap</x:v>
      </x:c>
      <x:c r="J19" s="26" t="str"/>
    </x:row>
    <x:row r="20">
      <x:c r="A20" s="26" t="n">
        <x:v>17</x:v>
      </x:c>
      <x:c r="B20" s="26" t="str">
        <x:v>81–85</x:v>
      </x:c>
      <x:c r="C20" s="26" t="str"/>
      <x:c r="D20" s="26" t="str">
        <x:v>Pending</x:v>
      </x:c>
      <x:c r="E20" s="26" t="str"/>
      <x:c r="F20" s="26" t="str"/>
      <x:c r="G20" s="26" t="str"/>
      <x:c r="H20" s="26" t="str">
        <x:v>Pending</x:v>
      </x:c>
      <x:c r="I20" s="26" t="str">
        <x:v>Analyze next 5 by Market Cap</x:v>
      </x:c>
      <x:c r="J20" s="26" t="str"/>
    </x:row>
    <x:row r="21">
      <x:c r="A21" s="26" t="n">
        <x:v>18</x:v>
      </x:c>
      <x:c r="B21" s="26" t="str">
        <x:v>86–90</x:v>
      </x:c>
      <x:c r="C21" s="26" t="str"/>
      <x:c r="D21" s="26" t="str">
        <x:v>Pending</x:v>
      </x:c>
      <x:c r="E21" s="26" t="str"/>
      <x:c r="F21" s="26" t="str"/>
      <x:c r="G21" s="26" t="str"/>
      <x:c r="H21" s="26" t="str">
        <x:v>Pending</x:v>
      </x:c>
      <x:c r="I21" s="26" t="str">
        <x:v>Analyze next 5 by Market Cap</x:v>
      </x:c>
      <x:c r="J21" s="26" t="str"/>
    </x:row>
    <x:row r="22">
      <x:c r="A22" s="26" t="n">
        <x:v>19</x:v>
      </x:c>
      <x:c r="B22" s="26" t="str">
        <x:v>91–95</x:v>
      </x:c>
      <x:c r="C22" s="26" t="str"/>
      <x:c r="D22" s="26" t="str">
        <x:v>Pending</x:v>
      </x:c>
      <x:c r="E22" s="26" t="str"/>
      <x:c r="F22" s="26" t="str"/>
      <x:c r="G22" s="26" t="str"/>
      <x:c r="H22" s="26" t="str">
        <x:v>Pending</x:v>
      </x:c>
      <x:c r="I22" s="26" t="str">
        <x:v>Analyze next 5 by Market Cap</x:v>
      </x:c>
      <x:c r="J22" s="26" t="str"/>
    </x:row>
    <x:row r="23">
      <x:c r="A23" s="26" t="n">
        <x:v>20</x:v>
      </x:c>
      <x:c r="B23" s="26" t="str">
        <x:v>96–100</x:v>
      </x:c>
      <x:c r="C23" s="26" t="str"/>
      <x:c r="D23" s="26" t="str">
        <x:v>Pending</x:v>
      </x:c>
      <x:c r="E23" s="26" t="str"/>
      <x:c r="F23" s="26" t="str"/>
      <x:c r="G23" s="26" t="str"/>
      <x:c r="H23" s="26" t="str">
        <x:v>Pending</x:v>
      </x:c>
      <x:c r="I23" s="26" t="str">
        <x:v>Analyze next 5 by Market Cap</x:v>
      </x:c>
      <x:c r="J23" s="26" t="str"/>
    </x:row>
  </x:sheetData>
  <x:mergeCells>
    <x:mergeCell ref="A1:J1"/>
  </x:mergeCells>
  <x:dataValidations count="2">
    <x:dataValidation type="list" sqref="D4:D23">
      <x:formula1>"Pending,In Progress,Completed,Needs Update"</x:formula1>
    </x:dataValidation>
    <x:dataValidation type="list" sqref="H4:H23">
      <x:formula1>"Pending,Reviewed,Recheck"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3900d563ab4edd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100" hidden="0" customWidth="1"/>
    <x:col min="3" max="3" width="28" hidden="0" customWidth="1"/>
    <x:col min="4" max="4" width="13" hidden="0" customWidth="1"/>
    <x:col min="5" max="5" width="20" hidden="0" customWidth="1"/>
    <x:col min="6" max="6" width="11" hidden="0" customWidth="1"/>
    <x:col min="7" max="7" width="23" hidden="0" customWidth="1"/>
    <x:col min="8" max="8" width="18" hidden="0" customWidth="1"/>
    <x:col min="9" max="9" width="12" hidden="0" customWidth="1"/>
    <x:col min="10" max="10" width="18" hidden="0" customWidth="1"/>
  </x:cols>
  <x:sheetData>
    <x:row r="1" ht="30" customHeight="1">
      <x:c r="A1" s="92" t="str">
        <x:v>Research Summary — รายบริษัท (ไม่มีการจัดอันดับเทียบกัน)</x:v>
      </x:c>
    </x:row>
    <x:row r="3">
      <x:c r="A3" s="90" t="str">
        <x:v>MCap Rank</x:v>
      </x:c>
      <x:c r="B3" s="90" t="str">
        <x:v>Ticker</x:v>
      </x:c>
      <x:c r="C3" s="90" t="str">
        <x:v>Sector</x:v>
      </x:c>
      <x:c r="D3" s="90" t="str">
        <x:v>ราคา (THB)</x:v>
      </x:c>
      <x:c r="E3" s="90" t="str">
        <x:v>Market Cap (THB mn)</x:v>
      </x:c>
      <x:c r="F3" s="90" t="str">
        <x:v>P/E (x)</x:v>
      </x:c>
      <x:c r="G3" s="90" t="str">
        <x:v>กำไรสุทธิช่วงล่าสุด (THB mn)</x:v>
      </x:c>
      <x:c r="H3" s="90" t="str">
        <x:v>Debt / EBITDA (x)</x:v>
      </x:c>
      <x:c r="I3" s="90" t="str">
        <x:v>Moat</x:v>
      </x:c>
      <x:c r="J3" s="90" t="str">
        <x:v>Valuation</x:v>
      </x:c>
    </x:row>
    <x:row r="4">
      <x:c r="A4" s="23" t="n">
        <x:v>1</x:v>
      </x:c>
      <x:c r="B4" s="23" t="str">
        <x:v>DELTA</x:v>
      </x:c>
      <x:c r="C4" s="99" t="str">
        <x:f>'01_Universe'!D4</x:f>
        <x:v>Electronic Components</x:v>
      </x:c>
      <x:c r="D4" s="100" t="n">
        <x:f>'01_Universe'!E4</x:f>
        <x:v>268</x:v>
      </x:c>
      <x:c r="E4" s="100" t="n">
        <x:f>'01_Universe'!F4</x:f>
        <x:v>3342982.73</x:v>
      </x:c>
      <x:c r="F4" s="101" t="n">
        <x:f>'04_Valuation'!D4</x:f>
        <x:v>111.98</x:v>
      </x:c>
      <x:c r="G4" s="100" t="n">
        <x:f>'03_Financials'!D4</x:f>
        <x:v>15155.77</x:v>
      </x:c>
      <x:c r="H4" s="70" t="n">
        <x:v>0.19</x:v>
      </x:c>
      <x:c r="I4" s="26" t="str">
        <x:v>มี</x:v>
      </x:c>
      <x:c r="J4" s="99" t="str">
        <x:f>'04_Valuation'!J4</x:f>
        <x:v>Very Expensive</x:v>
      </x:c>
    </x:row>
    <x:row r="5">
      <x:c r="A5" s="102" t="n">
        <x:v>2</x:v>
      </x:c>
      <x:c r="B5" s="103" t="str">
        <x:v>PTT</x:v>
      </x:c>
      <x:c r="C5" s="99" t="str">
        <x:f>'01_Universe'!D5</x:f>
        <x:v>Energy &amp; Utilities</x:v>
      </x:c>
      <x:c r="D5" s="104" t="n">
        <x:f>'01_Universe'!E5</x:f>
        <x:v>40.5</x:v>
      </x:c>
      <x:c r="E5" s="105" t="n">
        <x:f>'01_Universe'!F5</x:f>
        <x:v>1156801.35</x:v>
      </x:c>
      <x:c r="F5" s="101" t="n">
        <x:f>'04_Valuation'!D5</x:f>
        <x:v>9.28</x:v>
      </x:c>
      <x:c r="G5" s="100" t="n">
        <x:f>'03_Financials'!D5</x:f>
        <x:v>78262.89</x:v>
      </x:c>
      <x:c r="H5" s="70" t="n">
        <x:v>2.22</x:v>
      </x:c>
      <x:c r="I5" s="26" t="str">
        <x:v>มี</x:v>
      </x:c>
      <x:c r="J5" s="99" t="str">
        <x:f>'04_Valuation'!J5</x:f>
        <x:v>Cheap</x:v>
      </x:c>
    </x:row>
    <x:row r="6">
      <x:c r="A6" s="102" t="n">
        <x:v>3</x:v>
      </x:c>
      <x:c r="B6" s="103" t="str">
        <x:v>ADVANC</x:v>
      </x:c>
      <x:c r="C6" s="99" t="str">
        <x:f>'01_Universe'!D6</x:f>
        <x:v>Information &amp; Communication Technology</x:v>
      </x:c>
      <x:c r="D6" s="104" t="n">
        <x:f>'01_Universe'!E6</x:f>
        <x:v>339</x:v>
      </x:c>
      <x:c r="E6" s="105" t="n">
        <x:f>'01_Universe'!F6</x:f>
        <x:v>1008257.19</x:v>
      </x:c>
      <x:c r="F6" s="101" t="n">
        <x:f>'04_Valuation'!D6</x:f>
        <x:v>18.95</x:v>
      </x:c>
      <x:c r="G6" s="100" t="n">
        <x:f>'03_Financials'!D6</x:f>
        <x:v>27211.51</x:v>
      </x:c>
      <x:c r="H6" s="70" t="n">
        <x:v>1.86</x:v>
      </x:c>
      <x:c r="I6" s="26" t="str">
        <x:v>มี</x:v>
      </x:c>
      <x:c r="J6" s="99" t="str">
        <x:f>'04_Valuation'!J6</x:f>
        <x:v>Fair Value</x:v>
      </x:c>
    </x:row>
    <x:row r="7">
      <x:c r="A7" s="102" t="n">
        <x:v>4</x:v>
      </x:c>
      <x:c r="B7" s="103" t="str">
        <x:v>GULF</x:v>
      </x:c>
      <x:c r="C7" s="99" t="str">
        <x:f>'01_Universe'!D7</x:f>
        <x:v>Energy &amp; Utilities</x:v>
      </x:c>
      <x:c r="D7" s="104" t="n">
        <x:f>'01_Universe'!E7</x:f>
        <x:v>59.75</x:v>
      </x:c>
      <x:c r="E7" s="105" t="n">
        <x:f>'01_Universe'!F7</x:f>
        <x:v>892655.3</x:v>
      </x:c>
      <x:c r="F7" s="101" t="n">
        <x:f>'04_Valuation'!D7</x:f>
        <x:v>11.92</x:v>
      </x:c>
      <x:c r="G7" s="100" t="n">
        <x:f>'03_Financials'!D7</x:f>
        <x:v>21562.49</x:v>
      </x:c>
      <x:c r="H7" s="70" t="n">
        <x:v>4.2</x:v>
      </x:c>
      <x:c r="I7" s="26" t="str">
        <x:v>มี</x:v>
      </x:c>
      <x:c r="J7" s="99" t="str">
        <x:f>'04_Valuation'!J7</x:f>
        <x:v>Fair Value</x:v>
      </x:c>
    </x:row>
    <x:row r="8">
      <x:c r="A8" s="102" t="n">
        <x:v>5</x:v>
      </x:c>
      <x:c r="B8" s="103" t="str">
        <x:v>AOT</x:v>
      </x:c>
      <x:c r="C8" s="99" t="str">
        <x:f>'01_Universe'!D8</x:f>
        <x:v>Transportation &amp; Logistics</x:v>
      </x:c>
      <x:c r="D8" s="104" t="n">
        <x:f>'01_Universe'!E8</x:f>
        <x:v>59.75</x:v>
      </x:c>
      <x:c r="E8" s="105" t="n">
        <x:f>'01_Universe'!F8</x:f>
        <x:v>853570.58</x:v>
      </x:c>
      <x:c r="F8" s="101" t="n">
        <x:f>'04_Valuation'!D8</x:f>
        <x:v>45.71</x:v>
      </x:c>
      <x:c r="G8" s="100" t="n">
        <x:f>'03_Financials'!D8</x:f>
        <x:v>14812.34</x:v>
      </x:c>
      <x:c r="H8" s="70" t="n">
        <x:v>0.24</x:v>
      </x:c>
      <x:c r="I8" s="26" t="str">
        <x:v>มี</x:v>
      </x:c>
      <x:c r="J8" s="99" t="str">
        <x:f>'04_Valuation'!J8</x:f>
        <x:v>Expensive</x:v>
      </x:c>
    </x:row>
    <x:row r="11" ht="30" customHeight="1">
      <x:c r="A11" s="91" t="str">
        <x:v>กติกาใหม่ของการวิเคราะห์</x:v>
      </x:c>
      <x:c r="B11" s="14"/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26"/>
      <x:c r="B12" s="26"/>
      <x:c r="C12" s="26"/>
      <x:c r="D12" s="26"/>
      <x:c r="E12" s="80"/>
      <x:c r="F12" s="26"/>
      <x:c r="G12" s="26"/>
      <x:c r="H12" s="28"/>
      <x:c r="I12" s="28"/>
      <x:c r="J12" s="26"/>
    </x:row>
    <x:row r="13">
      <x:c r="A13" s="106" t="str">
        <x:v>1</x:v>
      </x:c>
      <x:c r="B13" s="26" t="str">
        <x:v>ไม่เปรียบเทียบหุ้นตัวหนึ่งกับอีกตัวหนึ่ง ไม่ว่าจะอยู่ Batch เดียวกันหรือคนละ Batch</x:v>
      </x:c>
      <x:c r="C13" s="26"/>
      <x:c r="D13" s="26"/>
      <x:c r="E13" s="80"/>
      <x:c r="F13" s="26"/>
      <x:c r="G13" s="26"/>
      <x:c r="H13" s="28"/>
      <x:c r="I13" s="28"/>
      <x:c r="J13" s="26"/>
    </x:row>
    <x:row r="14">
      <x:c r="A14" s="106" t="str">
        <x:v>2</x:v>
      </x:c>
      <x:c r="B14" s="26" t="str">
        <x:v>หากใช้ Peer Comparison ให้เทียบกับอุตสาหกรรม/Peer Group ของบริษัทนั้นเท่านั้น</x:v>
      </x:c>
      <x:c r="C14" s="26"/>
      <x:c r="D14" s="26"/>
      <x:c r="E14" s="80"/>
      <x:c r="F14" s="26"/>
      <x:c r="G14" s="26"/>
      <x:c r="H14" s="28"/>
      <x:c r="I14" s="28"/>
      <x:c r="J14" s="26"/>
    </x:row>
    <x:row r="15">
      <x:c r="A15" s="106" t="str">
        <x:v>3</x:v>
      </x:c>
      <x:c r="B15" s="26" t="str">
        <x:v>Moat ต้องตอบแบบ Binary ก่อน: มี / ไม่มี แล้วอธิบายเหตุผลและ Durability</x:v>
      </x:c>
      <x:c r="C15" s="26"/>
      <x:c r="D15" s="26"/>
      <x:c r="E15" s="80"/>
      <x:c r="F15" s="26"/>
      <x:c r="G15" s="26"/>
      <x:c r="H15" s="28"/>
      <x:c r="I15" s="28"/>
      <x:c r="J15" s="26"/>
    </x:row>
    <x:row r="16">
      <x:c r="A16" s="106" t="str">
        <x:v>4</x:v>
      </x:c>
      <x:c r="B16" s="26" t="str">
        <x:v>Summary ต้องมี Debt / EBITDA สำหรับบริษัททั่วไป</x:v>
      </x:c>
      <x:c r="C16" s="26"/>
      <x:c r="D16" s="26"/>
      <x:c r="E16" s="80"/>
      <x:c r="F16" s="26"/>
      <x:c r="G16" s="26"/>
      <x:c r="H16" s="28"/>
      <x:c r="I16" s="28"/>
      <x:c r="J16" s="26"/>
    </x:row>
    <x:row r="17">
      <x:c r="A17" s="22" t="str">
        <x:v>5</x:v>
      </x:c>
      <x:c r="B17" s="23" t="str">
        <x:v>Bank / Finance / Insurance ใช้ Debt / EBITDA = N/A และเปลี่ยนเป็น Capital/Asset-quality metrics ที่เหมาะกับอุตสาหกรรม</x:v>
      </x:c>
    </x:row>
  </x:sheetData>
  <x:mergeCells>
    <x:mergeCell ref="A1:J1"/>
    <x:mergeCell ref="A3:J3"/>
    <x:mergeCell ref="A11:J11"/>
  </x:mergeCells>
  <x:conditionalFormatting sqref="E12:E16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{520FDD8D-B478-10BE-604B-8D97B382B9B9}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20FDD8D-B478-10BE-604B-8D97B382B9B9}">
            <x14:dataBar gradient="1">
              <x14:cfvo type="min"/>
              <x14:cfvo type="max"/>
              <x14:fillColor rgb="FFA02B93"/>
            </x14:dataBar>
          </x14:cfRule>
          <xm:sqref>E12:E16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4" max="4" width="24" hidden="0" customWidth="1"/>
    <x:col min="5" max="5" width="40" hidden="0" customWidth="1"/>
    <x:col min="6" max="6" width="40" hidden="0" customWidth="1"/>
    <x:col min="7" max="7" width="28" hidden="0" customWidth="1"/>
    <x:col min="8" max="8" width="36" hidden="0" customWidth="1"/>
  </x:cols>
  <x:sheetData>
    <x:row r="1" ht="30" customHeight="1">
      <x:c r="A1" s="110" t="str">
        <x:v>SET100 Research System — Update Metadata</x:v>
      </x:c>
    </x:row>
    <x:row r="3">
      <x:c r="A3" s="114" t="str">
        <x:v>Field</x:v>
      </x:c>
      <x:c r="B3" s="114" t="str">
        <x:v>Value</x:v>
      </x:c>
      <x:c r="D3" s="114" t="str">
        <x:v>Update Status</x:v>
      </x:c>
      <x:c r="E3" s="114" t="str">
        <x:v>Meaning</x:v>
      </x:c>
      <x:c r="F3" s="114" t="str">
        <x:v>Trigger</x:v>
      </x:c>
      <x:c r="G3" s="114" t="str">
        <x:v>Dashboard Label</x:v>
      </x:c>
      <x:c r="H3" s="114" t="str">
        <x:v>Action</x:v>
      </x:c>
    </x:row>
    <x:row r="4">
      <x:c r="A4" s="22" t="str">
        <x:v>System Version</x:v>
      </x:c>
      <x:c r="B4" s="23" t="str">
        <x:v>v3</x:v>
      </x:c>
      <x:c r="D4" s="23" t="str">
        <x:v>Current</x:v>
      </x:c>
      <x:c r="E4" s="23" t="str">
        <x:v>Market/Financial/Research review current</x:v>
      </x:c>
      <x:c r="F4" s="23" t="str">
        <x:v>No newer result identified</x:v>
      </x:c>
      <x:c r="G4" s="23" t="str">
        <x:v>🟢 Current</x:v>
      </x:c>
      <x:c r="H4" s="23" t="str">
        <x:v>No action</x:v>
      </x:c>
    </x:row>
    <x:row r="5">
      <x:c r="A5" s="22" t="str">
        <x:v>Universe</x:v>
      </x:c>
      <x:c r="B5" s="23" t="str">
        <x:v>SET100 H2/2026</x:v>
      </x:c>
      <x:c r="D5" s="23" t="str">
        <x:v>New Results Available</x:v>
      </x:c>
      <x:c r="E5" s="23" t="str">
        <x:v>New financial results exist but research not yet updated</x:v>
      </x:c>
      <x:c r="F5" s="23" t="str">
        <x:v>Quarter/annual filing released</x:v>
      </x:c>
      <x:c r="G5" s="23" t="str">
        <x:v>🟡 New Results Available</x:v>
      </x:c>
      <x:c r="H5" s="23" t="str">
        <x:v>Refresh financials + thesis review</x:v>
      </x:c>
    </x:row>
    <x:row r="6">
      <x:c r="A6" s="22" t="str">
        <x:v>Research Order</x:v>
      </x:c>
      <x:c r="B6" s="23" t="str">
        <x:v>Market Cap 100%</x:v>
      </x:c>
      <x:c r="D6" s="23" t="str">
        <x:v>Research Needs Update</x:v>
      </x:c>
      <x:c r="E6" s="23" t="str">
        <x:v>Material event / valuation / thesis changed</x:v>
      </x:c>
      <x:c r="F6" s="23" t="str">
        <x:v>Major price, regulation, M&amp;A, guidance, risk event</x:v>
      </x:c>
      <x:c r="G6" s="23" t="str">
        <x:v>🔴 Research Needs Update</x:v>
      </x:c>
      <x:c r="H6" s="23" t="str">
        <x:v>Full research review</x:v>
      </x:c>
    </x:row>
    <x:row r="7">
      <x:c r="A7" s="22" t="str">
        <x:v>Companies Researched</x:v>
      </x:c>
      <x:c r="B7" s="23" t="str">
        <x:v>5</x:v>
      </x:c>
    </x:row>
    <x:row r="8">
      <x:c r="A8" s="22" t="str">
        <x:v>Total Universe</x:v>
      </x:c>
      <x:c r="B8" s="23" t="str">
        <x:v>100</x:v>
      </x:c>
    </x:row>
    <x:row r="9">
      <x:c r="A9" s="22" t="str">
        <x:v>Market Data Updated</x:v>
      </x:c>
      <x:c r="B9" s="23" t="str">
        <x:v>2026-10-07</x:v>
      </x:c>
    </x:row>
    <x:row r="10">
      <x:c r="A10" s="22" t="str">
        <x:v>Financial Data Updated</x:v>
      </x:c>
      <x:c r="B10" s="23" t="str">
        <x:v>Q2/2026; AOT 9M FY2026</x:v>
      </x:c>
    </x:row>
    <x:row r="11">
      <x:c r="A11" s="22" t="str">
        <x:v>Research Reviewed</x:v>
      </x:c>
      <x:c r="B11" s="23" t="str">
        <x:v>2026-10-08</x:v>
      </x:c>
    </x:row>
    <x:row r="12">
      <x:c r="A12" s="22" t="str">
        <x:v>Dashboard Data File</x:v>
      </x:c>
      <x:c r="B12" s="23" t="str">
        <x:v>data.json</x:v>
      </x:c>
    </x:row>
    <x:row r="14">
      <x:c r="A14" s="22" t="str">
        <x:v>Dashboard Feature</x:v>
      </x:c>
      <x:c r="B14" s="23" t="str">
        <x:v>SET Index date-range filter; default 3 months</x:v>
      </x:c>
    </x:row>
    <x:row r="15">
      <x:c r="A15" s="22" t="str">
        <x:v>Personal Comments</x:v>
      </x:c>
      <x:c r="B15" s="23" t="str">
        <x:v>HTML textarea after Bear Thesis; fixed height; localStorage</x:v>
      </x:c>
    </x:row>
    <x:row r="16">
      <x:c r="A16" s="22" t="str">
        <x:v>Comment Privacy</x:v>
      </x:c>
      <x:c r="B16" s="23" t="str">
        <x:v>Stored only in user's browser/device; not written to public GitHub</x:v>
      </x:c>
    </x:row>
    <x:row r="17">
      <x:c r="A17" s="22" t="str">
        <x:v>System Version</x:v>
      </x:c>
      <x:c r="B17" s="23" t="str">
        <x:v>v5</x:v>
      </x:c>
    </x:row>
    <x:row r="19">
      <x:c r="A19" s="22" t="str">
        <x:v>System Version</x:v>
      </x:c>
      <x:c r="B19" s="23" t="str">
        <x:v>v6</x:v>
      </x:c>
    </x:row>
    <x:row r="20">
      <x:c r="A20" s="22" t="str">
        <x:v>Team Comment Source</x:v>
      </x:c>
      <x:c r="B20" s="23" t="str">
        <x:v>06_Deep_Research!O:O</x:v>
      </x:c>
    </x:row>
    <x:row r="21">
      <x:c r="A21" s="22" t="str">
        <x:v>JSON Export</x:v>
      </x:c>
      <x:c r="B21" s="23" t="str">
        <x:v>GitHub Actions — Excel to data.json</x:v>
      </x:c>
    </x:row>
    <x:row r="22">
      <x:c r="A22" s="22" t="str">
        <x:v>Canonical Master</x:v>
      </x:c>
      <x:c r="B22" s="23" t="str">
        <x:v>SET100_Investment_Research_Master.xlsx</x:v>
      </x:c>
    </x:row>
    <x:row r="23">
      <x:c r="A23" s="22" t="str">
        <x:v>Dashboard Comment</x:v>
      </x:c>
      <x:c r="B23" s="23" t="str">
        <x:v>Shared Team Comment; no localStorage</x:v>
      </x:c>
    </x:row>
    <x:row r="24">
      <x:c r="A24" s="22" t="str">
        <x:v>System Version</x:v>
      </x:c>
      <x:c r="B24" s="23" t="str">
        <x:v>v6.1</x:v>
      </x:c>
    </x:row>
    <x:row r="25">
      <x:c r="A25" s="22" t="str">
        <x:v>Comment Preservation</x:v>
      </x:c>
      <x:c r="B25" s="23" t="str">
        <x:v>If uploaded Excel Team Comment is blank, restore from team_comments.json</x:v>
      </x:c>
    </x:row>
    <x:row r="26">
      <x:c r="A26" s="22" t="str">
        <x:v>Clear Comment Command</x:v>
      </x:c>
      <x:c r="B26" s="23" t="str">
        <x:v>[[CLEAR]] in Team Comment intentionally deletes shared comment</x:v>
      </x:c>
    </x:row>
    <x:row r="27">
      <x:c r="A27" s="22" t="str">
        <x:v>Comment Backup</x:v>
      </x:c>
      <x:c r="B27" s="23" t="str">
        <x:v>team_comments.json maintained automatically by GitHub Actions</x:v>
      </x:c>
    </x:row>
    <x:row r="28">
      <x:c r="A28" s="22" t="str">
        <x:v>SET History</x:v>
      </x:c>
      <x:c r="B28" s="23" t="str">
        <x:v>5-year monthly SET Index history stored in data.json &gt; marketIndex.history</x:v>
      </x:c>
    </x:row>
    <x:row r="29">
      <x:c r="A29" s="22" t="str">
        <x:v>Chart Range</x:v>
      </x:c>
      <x:c r="B29" s="23" t="str">
        <x:v>Custom start/end dates + 3M / 6M / 1Y / 3Y / 5Y presets</x:v>
      </x:c>
    </x:row>
    <x:row r="30">
      <x:c r="A30" s="22" t="str">
        <x:v>History Frequency</x:v>
      </x:c>
      <x:c r="B30" s="23" t="str">
        <x:v>Month-end; latest current point may be intraday</x:v>
      </x:c>
    </x:row>
    <x:row r="31">
      <x:c r="A31" s="22" t="str">
        <x:v>History Source</x:v>
      </x:c>
      <x:c r="B31" s="23" t="str">
        <x:v>Primarily SET monthly market reports / market statistics; Sep-2026 secondary verification</x:v>
      </x:c>
    </x:row>
    <x:row r="33">
      <x:c r="A33" s="22" t="str">
        <x:v>Research Batch</x:v>
      </x:c>
      <x:c r="B33" s="23" t="str">
        <x:v>Batch 2 — Market Cap ranks 6-10</x:v>
      </x:c>
    </x:row>
    <x:row r="34">
      <x:c r="A34" s="22" t="str">
        <x:v>Companies Researched</x:v>
      </x:c>
      <x:c r="B34" s="23" t="str">
        <x:v>10 / 100</x:v>
      </x:c>
    </x:row>
    <x:row r="35">
      <x:c r="A35" s="22" t="str">
        <x:v>Batch 2 Tickers</x:v>
      </x:c>
      <x:c r="B35" s="23" t="str">
        <x:v>KTB, PTTEP, KBANK, SCB, TRUE</x:v>
      </x:c>
    </x:row>
    <x:row r="36">
      <x:c r="A36" s="22" t="str">
        <x:v>Research Date</x:v>
      </x:c>
      <x:c r="B36" s="23" t="str">
        <x:v>2026-10-08</x:v>
      </x:c>
    </x:row>
    <x:row r="38">
      <x:c r="A38" s="22" t="str">
        <x:v>Research Batch</x:v>
      </x:c>
      <x:c r="B38" s="23" t="str">
        <x:v>Batch 3 — Market Cap ranks 11-15</x:v>
      </x:c>
    </x:row>
    <x:row r="39">
      <x:c r="A39" s="22" t="str">
        <x:v>Companies Researched</x:v>
      </x:c>
      <x:c r="B39" s="23" t="str">
        <x:v>15 / 100</x:v>
      </x:c>
    </x:row>
    <x:row r="40">
      <x:c r="A40" s="22" t="str">
        <x:v>Batch 3 Tickers</x:v>
      </x:c>
      <x:c r="B40" s="23" t="str">
        <x:v>CPALL, BBL, SCC, BDMS, CPN</x:v>
      </x:c>
    </x:row>
    <x:row r="41">
      <x:c r="A41" s="22" t="str">
        <x:v>Research Date</x:v>
      </x:c>
      <x:c r="B41" s="23" t="str">
        <x:v>2026-10-08</x:v>
      </x:c>
    </x:row>
    <x:row r="43">
      <x:c r="A43" s="22" t="str">
        <x:v>Research Batch</x:v>
      </x:c>
      <x:c r="B43" s="23" t="str">
        <x:v>Batch 4 — Market Cap ranks 16-20</x:v>
      </x:c>
    </x:row>
    <x:row r="44">
      <x:c r="A44" s="22" t="str">
        <x:v>Companies Researched</x:v>
      </x:c>
      <x:c r="B44" s="23" t="str">
        <x:v>20 / 100</x:v>
      </x:c>
    </x:row>
    <x:row r="45">
      <x:c r="A45" s="22" t="str">
        <x:v>Batch 4 Tickers</x:v>
      </x:c>
      <x:c r="B45" s="23" t="str">
        <x:v>CPN, CRC, CPF, TOP, IVL</x:v>
      </x:c>
    </x:row>
    <x:row r="46">
      <x:c r="A46" s="22" t="str">
        <x:v>Ranking Correction</x:v>
      </x:c>
      <x:c r="B46" s="23" t="str">
        <x:v>TTB inserted at rank 15; CPN moved from 15 to 16 after re-checking SET market cap</x:v>
      </x:c>
    </x:row>
    <x:row r="47">
      <x:c r="A47" s="22" t="str">
        <x:v>Market Data Basis</x:v>
      </x:c>
      <x:c r="B47" s="23" t="str">
        <x:v>SET close 07 Oct 2026</x:v>
      </x:c>
    </x:row>
    <x:row r="48">
      <x:c r="A48" s="22" t="str">
        <x:v>Research Date</x:v>
      </x:c>
      <x:c r="B48" s="23" t="str">
        <x:v>2026-10-08</x:v>
      </x:c>
    </x:row>
    <x:row r="50">
      <x:c r="A50" s="22" t="str">
        <x:v>Research Batch</x:v>
      </x:c>
      <x:c r="B50" s="23" t="str">
        <x:v>Batch 5 — Market Cap ranks 21-25</x:v>
      </x:c>
    </x:row>
    <x:row r="51">
      <x:c r="A51" s="22" t="str">
        <x:v>Companies Researched</x:v>
      </x:c>
      <x:c r="B51" s="23" t="str">
        <x:v>25 / 100</x:v>
      </x:c>
    </x:row>
    <x:row r="52">
      <x:c r="A52" s="22" t="str">
        <x:v>Batch 5 Tickers</x:v>
      </x:c>
      <x:c r="B52" s="23" t="str">
        <x:v>IVL, THAI, BH, OR, GPSC</x:v>
      </x:c>
    </x:row>
    <x:row r="53">
      <x:c r="A53" s="22" t="str">
        <x:v>Ranking Correction</x:v>
      </x:c>
      <x:c r="B53" s="23" t="str">
        <x:v>PTTGC inserted at rank 17 after full market-cap recheck; CRC/CPF/TOP/IVL shifted to 18/19/20/21</x:v>
      </x:c>
    </x:row>
    <x:row r="54">
      <x:c r="A54" s="22" t="str">
        <x:v>Market Data Basis</x:v>
      </x:c>
      <x:c r="B54" s="23" t="str">
        <x:v>SET close 08 Oct 2026</x:v>
      </x:c>
    </x:row>
    <x:row r="55">
      <x:c r="A55" s="22" t="str">
        <x:v>Research Date</x:v>
      </x:c>
      <x:c r="B55" s="23" t="str">
        <x:v>2026-10-09</x:v>
      </x:c>
    </x:row>
    <x:row r="56">
      <x:c r="A56" s="22" t="str">
        <x:v>Framework</x:v>
      </x:c>
      <x:c r="B56" s="23" t="str">
        <x:v>Stock Deep Research Framework — unchanged</x:v>
      </x:c>
    </x:row>
    <x:row r="58">
      <x:c r="A58" s="22" t="str">
        <x:v>Research Batch</x:v>
      </x:c>
      <x:c r="B58" s="23" t="str">
        <x:v>Batch 6 — Market Cap ranks 26-30</x:v>
      </x:c>
    </x:row>
    <x:row r="59">
      <x:c r="A59" s="22" t="str">
        <x:v>Companies Researched</x:v>
      </x:c>
      <x:c r="B59" s="23" t="str">
        <x:v>30 / 100</x:v>
      </x:c>
    </x:row>
    <x:row r="60">
      <x:c r="A60" s="22" t="str">
        <x:v>Batch 6 Tickers</x:v>
      </x:c>
      <x:c r="B60" s="23" t="str">
        <x:v>GPSC, MINT, TISCO, AWC, BEM</x:v>
      </x:c>
    </x:row>
    <x:row r="61">
      <x:c r="A61" s="22" t="str">
        <x:v>Ranking Correction</x:v>
      </x:c>
      <x:c r="B61" s="23" t="str">
        <x:v>CPAXT inserted at rank 24 after full market-cap recheck; OR/GPSC shifted to 25/26</x:v>
      </x:c>
    </x:row>
    <x:row r="62">
      <x:c r="A62" s="22" t="str">
        <x:v>Deep Research Repair</x:v>
      </x:c>
      <x:c r="B62" s="23" t="str">
        <x:v>Repaired missing ticker alignment for THAI, BH, OR, GPSC from prior batch</x:v>
      </x:c>
    </x:row>
    <x:row r="63">
      <x:c r="A63" s="22" t="str">
        <x:v>Market Data Basis</x:v>
      </x:c>
      <x:c r="B63" s="23" t="str">
        <x:v>SET close 09 Oct 2026</x:v>
      </x:c>
    </x:row>
    <x:row r="64">
      <x:c r="A64" s="22" t="str">
        <x:v>Research Date</x:v>
      </x:c>
      <x:c r="B64" s="23" t="str">
        <x:v>2026-10-12</x:v>
      </x:c>
    </x:row>
    <x:row r="65">
      <x:c r="A65" s="22" t="str">
        <x:v>Framework</x:v>
      </x:c>
      <x:c r="B65" s="23" t="str">
        <x:v>Stock Deep Research Framework — unchanged</x:v>
      </x:c>
    </x:row>
    <x:row r="66">
      <x:c r="A66" s="22" t="str">
        <x:v>QA</x:v>
      </x:c>
      <x:c r="B66" s="23" t="str">
        <x:v>Rank/ticker uniqueness and Deep Research alignment checked</x:v>
      </x:c>
    </x:row>
    <x:row r="68">
      <x:c r="A68" s="22" t="str">
        <x:v>Research Batch</x:v>
      </x:c>
      <x:c r="B68" s="23" t="str">
        <x:v>Batch 7 — Market Cap ranks 31-35</x:v>
      </x:c>
    </x:row>
    <x:row r="69">
      <x:c r="A69" s="22" t="str">
        <x:v>Companies Researched</x:v>
      </x:c>
      <x:c r="B69" s="23" t="str">
        <x:v>35 / 100</x:v>
      </x:c>
    </x:row>
    <x:row r="70">
      <x:c r="A70" s="22" t="str">
        <x:v>Batch 7 Ranks 31-35</x:v>
      </x:c>
      <x:c r="B70" s="23" t="str">
        <x:v>BEM, KCE, KTC, HMPRO, RATCH</x:v>
      </x:c>
    </x:row>
    <x:row r="71">
      <x:c r="A71" s="22" t="str">
        <x:v>Ranking Correction</x:v>
      </x:c>
      <x:c r="B71" s="23" t="str">
        <x:v>SCGP inserted at rank 27; MINT/TISCO/AWC/BEM shifted to 28/29/30/31. Research content preserved by ticker.</x:v>
      </x:c>
    </x:row>
    <x:row r="72">
      <x:c r="A72" s="22" t="str">
        <x:v>New Research Added</x:v>
      </x:c>
      <x:c r="B72" s="23" t="str">
        <x:v>SCGP, KCE, KTC, HMPRO, RATCH</x:v>
      </x:c>
    </x:row>
    <x:row r="73">
      <x:c r="A73" s="22" t="str">
        <x:v>Market Data Basis</x:v>
      </x:c>
      <x:c r="B73" s="23" t="str">
        <x:v>SET close 09 Oct 2026</x:v>
      </x:c>
    </x:row>
    <x:row r="74">
      <x:c r="A74" s="22" t="str">
        <x:v>Research Date</x:v>
      </x:c>
      <x:c r="B74" s="23" t="str">
        <x:v>2026-10-12</x:v>
      </x:c>
    </x:row>
    <x:row r="75">
      <x:c r="A75" s="22" t="str">
        <x:v>Framework</x:v>
      </x:c>
      <x:c r="B75" s="23" t="str">
        <x:v>Stock Deep Research Framework — unchanged</x:v>
      </x:c>
    </x:row>
    <x:row r="76">
      <x:c r="A76" s="22" t="str">
        <x:v>QA</x:v>
      </x:c>
      <x:c r="B76" s="23" t="str">
        <x:v>Rank/ticker uniqueness + Deep Research alignment + formula errors checked</x:v>
      </x:c>
    </x:row>
  </x:sheetData>
  <x:mergeCells>
    <x:mergeCell ref="A1:H1"/>
  </x:mergeCell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3A0821DF6FD4469252960B17861375" ma:contentTypeVersion="17" ma:contentTypeDescription="Create a new document." ma:contentTypeScope="" ma:versionID="8eac782194c02137ccf781392fbebd11">
  <xsd:schema xmlns:xsd="http://www.w3.org/2001/XMLSchema" xmlns:xs="http://www.w3.org/2001/XMLSchema" xmlns:p="http://schemas.microsoft.com/office/2006/metadata/properties" xmlns:ns2="003dddc5-2e57-48b7-a164-660500ac42fb" xmlns:ns3="0e63d9a7-3cd1-47cf-ad5a-1488b1aa6c8e" targetNamespace="http://schemas.microsoft.com/office/2006/metadata/properties" ma:root="true" ma:fieldsID="3bdab2e6179d12a1af8a55f51cf7b035" ns2:_="" ns3:_="">
    <xsd:import namespace="003dddc5-2e57-48b7-a164-660500ac42fb"/>
    <xsd:import namespace="0e63d9a7-3cd1-47cf-ad5a-1488b1aa6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3dddc5-2e57-48b7-a164-660500ac4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b381485-9db7-4f93-88a1-9072fc5827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63d9a7-3cd1-47cf-ad5a-1488b1aa6c8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6410a5a-dff8-420b-8965-9ed4bf2428a9}" ma:internalName="TaxCatchAll" ma:showField="CatchAllData" ma:web="0e63d9a7-3cd1-47cf-ad5a-1488b1aa6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3dddc5-2e57-48b7-a164-660500ac42fb">
      <Terms xmlns="http://schemas.microsoft.com/office/infopath/2007/PartnerControls"/>
    </lcf76f155ced4ddcb4097134ff3c332f>
    <TaxCatchAll xmlns="0e63d9a7-3cd1-47cf-ad5a-1488b1aa6c8e" xsi:nil="true"/>
  </documentManagement>
</p:properties>
</file>

<file path=customXml/itemProps1.xml><?xml version="1.0" encoding="utf-8"?>
<ds:datastoreItem xmlns:ds="http://schemas.openxmlformats.org/officeDocument/2006/customXml" ds:itemID="{47B88957-9AD9-4AC7-8A3B-56FDB86CD60B}"/>
</file>

<file path=customXml/itemProps2.xml><?xml version="1.0" encoding="utf-8"?>
<ds:datastoreItem xmlns:ds="http://schemas.openxmlformats.org/officeDocument/2006/customXml" ds:itemID="{8C802AF3-F25F-4848-B099-5D3D5FB7E16D}"/>
</file>

<file path=customXml/itemProps3.xml><?xml version="1.0" encoding="utf-8"?>
<ds:datastoreItem xmlns:ds="http://schemas.openxmlformats.org/officeDocument/2006/customXml" ds:itemID="{1C50E84C-4C11-4B20-9BCF-3D0F1A076DA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0x010100203A0821DF6FD4469252960B17861375</vt:lpwstr>
  </property>
</Properties>
</file>